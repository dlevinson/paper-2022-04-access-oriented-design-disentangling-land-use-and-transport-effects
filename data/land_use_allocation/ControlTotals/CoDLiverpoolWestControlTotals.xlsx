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marayaprolu/Dropbox (Sydney Uni)/Analysis/iMove : Liverpool Project/LandUseAllocation/ControlTotals/"/>
    </mc:Choice>
  </mc:AlternateContent>
  <xr:revisionPtr revIDLastSave="0" documentId="13_ncr:40009_{CF61035B-E5BC-1B48-A4C5-B7E528196341}" xr6:coauthVersionLast="45" xr6:coauthVersionMax="45" xr10:uidLastSave="{00000000-0000-0000-0000-000000000000}"/>
  <bookViews>
    <workbookView xWindow="5400" yWindow="4520" windowWidth="27640" windowHeight="16940"/>
  </bookViews>
  <sheets>
    <sheet name="TZCentroidsWithinLiverpoolW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S3" i="1" l="1"/>
  <c r="AS4" i="1"/>
  <c r="AS5" i="1"/>
  <c r="AS10" i="1" s="1"/>
  <c r="AS6" i="1"/>
  <c r="AS7" i="1"/>
  <c r="AS8" i="1"/>
  <c r="AS9" i="1"/>
  <c r="AS2" i="1"/>
  <c r="AR10" i="1"/>
  <c r="AR3" i="1"/>
  <c r="AR4" i="1"/>
  <c r="AR5" i="1"/>
  <c r="AR6" i="1"/>
  <c r="AR7" i="1"/>
  <c r="AR8" i="1"/>
  <c r="AR9" i="1"/>
  <c r="AR2" i="1"/>
  <c r="AQ10" i="1"/>
  <c r="AP10" i="1"/>
  <c r="AA40" i="1"/>
  <c r="Z40" i="1"/>
  <c r="AA34" i="1"/>
  <c r="Z34" i="1"/>
  <c r="AA30" i="1"/>
  <c r="Z30" i="1"/>
  <c r="AA20" i="1"/>
  <c r="Z20" i="1"/>
  <c r="AA16" i="1"/>
  <c r="Z16" i="1"/>
  <c r="AA7" i="1"/>
  <c r="Z7" i="1"/>
</calcChain>
</file>

<file path=xl/sharedStrings.xml><?xml version="1.0" encoding="utf-8"?>
<sst xmlns="http://schemas.openxmlformats.org/spreadsheetml/2006/main" count="602" uniqueCount="107">
  <si>
    <t>TZ16_CODE</t>
  </si>
  <si>
    <t>TZ16_NAME</t>
  </si>
  <si>
    <t>Tz16_Area</t>
  </si>
  <si>
    <t>TZprojecti</t>
  </si>
  <si>
    <t>TZprojec_1</t>
  </si>
  <si>
    <t>TZprojec_2</t>
  </si>
  <si>
    <t>TZprojec_3</t>
  </si>
  <si>
    <t>TZprojec_4</t>
  </si>
  <si>
    <t>TZprojec_5</t>
  </si>
  <si>
    <t>TZprojec_6</t>
  </si>
  <si>
    <t>TZprojec_7</t>
  </si>
  <si>
    <t>TZprojec_8</t>
  </si>
  <si>
    <t>TZprojec_9</t>
  </si>
  <si>
    <t>TZprojec10</t>
  </si>
  <si>
    <t>TZprojec11</t>
  </si>
  <si>
    <t>TZprojec12</t>
  </si>
  <si>
    <t>TZprojec13</t>
  </si>
  <si>
    <t>TZprojec14</t>
  </si>
  <si>
    <t>TZprojec15</t>
  </si>
  <si>
    <t>TZprojec16</t>
  </si>
  <si>
    <t>TZprojec17</t>
  </si>
  <si>
    <t>TZprojec18</t>
  </si>
  <si>
    <t>TZprojec19</t>
  </si>
  <si>
    <t>TZprojec20</t>
  </si>
  <si>
    <t>TZprojec21</t>
  </si>
  <si>
    <t>LOC_PID</t>
  </si>
  <si>
    <t>NSW_LOCA_2</t>
  </si>
  <si>
    <t>LGA_CODE16</t>
  </si>
  <si>
    <t>LGA_NAME16</t>
  </si>
  <si>
    <t>Split_id</t>
  </si>
  <si>
    <t>merge_id</t>
  </si>
  <si>
    <t>Rossmore Grange</t>
  </si>
  <si>
    <t>Austral - Greendale</t>
  </si>
  <si>
    <t>Bringelly - Green Valley</t>
  </si>
  <si>
    <t>Sydney - South West</t>
  </si>
  <si>
    <t>Liverpool (C)</t>
  </si>
  <si>
    <t>Greater Sydney</t>
  </si>
  <si>
    <t>1GSYD</t>
  </si>
  <si>
    <t>South West</t>
  </si>
  <si>
    <t>Residential</t>
  </si>
  <si>
    <t>Remainder</t>
  </si>
  <si>
    <t>GIC_1</t>
  </si>
  <si>
    <t>Rossmore</t>
  </si>
  <si>
    <t>Greenfield</t>
  </si>
  <si>
    <t>Aerotropolis</t>
  </si>
  <si>
    <t>NSW3451</t>
  </si>
  <si>
    <t>ROSSMORE</t>
  </si>
  <si>
    <t>NSW Animal Welfare League Rossmore</t>
  </si>
  <si>
    <t>Rossmore Trial Track</t>
  </si>
  <si>
    <t>Luddenham</t>
  </si>
  <si>
    <t>Mulgoa - Luddenham - Orchard Hills</t>
  </si>
  <si>
    <t>Penrith</t>
  </si>
  <si>
    <t>Sydney - Outer West and Blue Mountains</t>
  </si>
  <si>
    <t>Primary Production</t>
  </si>
  <si>
    <t>Agriculture and Agribusiness</t>
  </si>
  <si>
    <t>NSW4137</t>
  </si>
  <si>
    <t>WALLACIA</t>
  </si>
  <si>
    <t>Bents Basin Greendale</t>
  </si>
  <si>
    <t>NSW1777</t>
  </si>
  <si>
    <t>GREENDALE</t>
  </si>
  <si>
    <t>Badgerys Creek_Martin Rd and Cuthel St</t>
  </si>
  <si>
    <t>Badgerys Creek</t>
  </si>
  <si>
    <t>NSW130</t>
  </si>
  <si>
    <t>BADGERYS CREEK</t>
  </si>
  <si>
    <t>Badgerys Creek_Inghams Multiplication Farm</t>
  </si>
  <si>
    <t>Aerotropolis Core</t>
  </si>
  <si>
    <t>Badgerys Creek_North</t>
  </si>
  <si>
    <t>Stage 1</t>
  </si>
  <si>
    <t>Western Sydney Airport</t>
  </si>
  <si>
    <t>Badgerys Creek_East</t>
  </si>
  <si>
    <t>Badgerys Creek_South</t>
  </si>
  <si>
    <t>Kemps Creek_Western Rd and Braikfield Av</t>
  </si>
  <si>
    <t>Kemps Creek</t>
  </si>
  <si>
    <t>NSW2118</t>
  </si>
  <si>
    <t>KEMPS CREEK</t>
  </si>
  <si>
    <t>Kemps Creek_Western Rd and Tavistock Rd</t>
  </si>
  <si>
    <t>Russian Sports Association</t>
  </si>
  <si>
    <t>Kemps Creek_Czechoslovakian Country Club</t>
  </si>
  <si>
    <t>Luddenham Hall</t>
  </si>
  <si>
    <t>NSW2441</t>
  </si>
  <si>
    <t>LUDDENHAM</t>
  </si>
  <si>
    <t>Luddenham _South</t>
  </si>
  <si>
    <t>Bringelly_Mersey Rd and Severn Rd</t>
  </si>
  <si>
    <t>NSW582</t>
  </si>
  <si>
    <t>BRINGELLY</t>
  </si>
  <si>
    <t>Thompson Creek and South Creek</t>
  </si>
  <si>
    <t>Parkland</t>
  </si>
  <si>
    <t>RAAF</t>
  </si>
  <si>
    <t>Bringelly_Kelvin Park Dr and The Retreat</t>
  </si>
  <si>
    <t>Bringelly_Findley Rd and Francis St</t>
  </si>
  <si>
    <t>Bringelly Public School</t>
  </si>
  <si>
    <t>Bringelly_Kelvin Park Dr and Medich Pl</t>
  </si>
  <si>
    <t>Kemps Creek_Brandown Quarries</t>
  </si>
  <si>
    <t>NSW880</t>
  </si>
  <si>
    <t>CECIL PARK</t>
  </si>
  <si>
    <t>Kemps Creek Nature Reserve</t>
  </si>
  <si>
    <t>Austral</t>
  </si>
  <si>
    <t>SWGA</t>
  </si>
  <si>
    <t>CoD_2016</t>
  </si>
  <si>
    <t>ERP_2056</t>
  </si>
  <si>
    <t>ERP_2016</t>
  </si>
  <si>
    <t>Total</t>
  </si>
  <si>
    <t>CoD_2056</t>
  </si>
  <si>
    <t>FiD_2016</t>
  </si>
  <si>
    <t>FiD_2041</t>
  </si>
  <si>
    <t>Pop_2016</t>
  </si>
  <si>
    <t>Pop_BuildOut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</si>
</sst>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2"/>
  <sheetViews>
    <sheetView tabSelected="1" topLeftCell="AH1" workbookViewId="0">
      <selection activeCell="AT18" sqref="AT18"/>
    </sheetView>
  </sheetViews>
  <sheetFormatPr baseColWidth="10" defaultRowHeight="16"/>
  <cols>
    <col min="2" max="23" width="0" hidden="1" customWidth="1"/>
    <col min="24" max="24" width="11.1640625" bestFit="1" customWidth="1"/>
    <col min="25" max="25" width="24.83203125" bestFit="1" customWidth="1"/>
    <col min="28" max="28" width="9.33203125" bestFit="1" customWidth="1"/>
    <col min="29" max="29" width="15.83203125" bestFit="1" customWidth="1"/>
    <col min="30" max="30" width="12" customWidth="1"/>
    <col min="31" max="31" width="12.6640625" customWidth="1"/>
    <col min="32" max="33" width="10.83203125" customWidth="1"/>
    <col min="37" max="37" width="15.83203125" bestFit="1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100</v>
      </c>
      <c r="AA1" t="s">
        <v>99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98</v>
      </c>
      <c r="AQ1" t="s">
        <v>102</v>
      </c>
      <c r="AR1" t="s">
        <v>105</v>
      </c>
      <c r="AS1" t="s">
        <v>106</v>
      </c>
      <c r="AV1" t="s">
        <v>103</v>
      </c>
      <c r="AW1" t="s">
        <v>104</v>
      </c>
    </row>
    <row r="2" spans="1:49">
      <c r="A2">
        <v>3608</v>
      </c>
      <c r="B2" t="s">
        <v>60</v>
      </c>
      <c r="C2">
        <v>3516754.5980299902</v>
      </c>
      <c r="D2" t="s">
        <v>60</v>
      </c>
      <c r="E2" t="s">
        <v>32</v>
      </c>
      <c r="F2">
        <v>127011505</v>
      </c>
      <c r="G2">
        <v>11505</v>
      </c>
      <c r="H2" t="s">
        <v>33</v>
      </c>
      <c r="I2">
        <v>12701</v>
      </c>
      <c r="J2" t="s">
        <v>34</v>
      </c>
      <c r="K2">
        <v>127</v>
      </c>
      <c r="L2" t="s">
        <v>35</v>
      </c>
      <c r="M2">
        <v>14900</v>
      </c>
      <c r="N2" t="s">
        <v>36</v>
      </c>
      <c r="O2" t="s">
        <v>37</v>
      </c>
      <c r="P2" t="s">
        <v>38</v>
      </c>
      <c r="Q2" t="s">
        <v>39</v>
      </c>
      <c r="R2">
        <v>352.30084790000001</v>
      </c>
      <c r="S2">
        <v>0</v>
      </c>
      <c r="T2" t="s">
        <v>41</v>
      </c>
      <c r="U2" t="s">
        <v>61</v>
      </c>
      <c r="V2" t="s">
        <v>61</v>
      </c>
      <c r="W2" t="s">
        <v>43</v>
      </c>
      <c r="X2" t="s">
        <v>44</v>
      </c>
      <c r="Y2" t="s">
        <v>61</v>
      </c>
      <c r="Z2">
        <v>178</v>
      </c>
      <c r="AA2">
        <v>0</v>
      </c>
      <c r="AB2" t="s">
        <v>62</v>
      </c>
      <c r="AC2" t="s">
        <v>63</v>
      </c>
      <c r="AD2">
        <v>14900</v>
      </c>
      <c r="AE2" t="s">
        <v>35</v>
      </c>
      <c r="AF2">
        <v>372</v>
      </c>
      <c r="AG2">
        <v>372</v>
      </c>
      <c r="AJ2" t="s">
        <v>62</v>
      </c>
      <c r="AK2" t="s">
        <v>63</v>
      </c>
      <c r="AL2">
        <v>14900</v>
      </c>
      <c r="AM2" t="s">
        <v>35</v>
      </c>
      <c r="AN2">
        <v>372</v>
      </c>
      <c r="AO2">
        <v>372</v>
      </c>
      <c r="AP2">
        <v>219</v>
      </c>
      <c r="AQ2">
        <v>300</v>
      </c>
      <c r="AR2">
        <f>ROUND(AP2*$AV$2/$AP$10,0)</f>
        <v>213</v>
      </c>
      <c r="AS2">
        <f>ROUND(AQ2*$AW$2/$AQ$10,0)</f>
        <v>170</v>
      </c>
      <c r="AV2">
        <v>6915</v>
      </c>
      <c r="AW2">
        <v>40825</v>
      </c>
    </row>
    <row r="3" spans="1:49">
      <c r="A3">
        <v>3612</v>
      </c>
      <c r="B3" t="s">
        <v>64</v>
      </c>
      <c r="C3">
        <v>4855195.7488900004</v>
      </c>
      <c r="D3" t="s">
        <v>64</v>
      </c>
      <c r="E3" t="s">
        <v>32</v>
      </c>
      <c r="F3">
        <v>127011505</v>
      </c>
      <c r="G3">
        <v>11505</v>
      </c>
      <c r="H3" t="s">
        <v>33</v>
      </c>
      <c r="I3">
        <v>12701</v>
      </c>
      <c r="J3" t="s">
        <v>34</v>
      </c>
      <c r="K3">
        <v>127</v>
      </c>
      <c r="L3" t="s">
        <v>35</v>
      </c>
      <c r="M3">
        <v>14900</v>
      </c>
      <c r="N3" t="s">
        <v>36</v>
      </c>
      <c r="O3" t="s">
        <v>37</v>
      </c>
      <c r="P3" t="s">
        <v>38</v>
      </c>
      <c r="Q3" t="s">
        <v>53</v>
      </c>
      <c r="R3">
        <v>486.37996240000001</v>
      </c>
      <c r="S3">
        <v>0</v>
      </c>
      <c r="T3" t="s">
        <v>41</v>
      </c>
      <c r="U3" t="s">
        <v>65</v>
      </c>
      <c r="V3" t="s">
        <v>65</v>
      </c>
      <c r="W3" t="s">
        <v>43</v>
      </c>
      <c r="X3" t="s">
        <v>44</v>
      </c>
      <c r="Y3" t="s">
        <v>65</v>
      </c>
      <c r="Z3">
        <v>18</v>
      </c>
      <c r="AA3">
        <v>300</v>
      </c>
      <c r="AB3" t="s">
        <v>62</v>
      </c>
      <c r="AC3" t="s">
        <v>63</v>
      </c>
      <c r="AD3">
        <v>14900</v>
      </c>
      <c r="AE3" t="s">
        <v>35</v>
      </c>
      <c r="AF3">
        <v>372</v>
      </c>
      <c r="AG3">
        <v>372</v>
      </c>
      <c r="AJ3" t="s">
        <v>83</v>
      </c>
      <c r="AK3" t="s">
        <v>84</v>
      </c>
      <c r="AL3">
        <v>14900</v>
      </c>
      <c r="AM3" t="s">
        <v>35</v>
      </c>
      <c r="AN3">
        <v>633</v>
      </c>
      <c r="AO3">
        <v>372</v>
      </c>
      <c r="AP3">
        <v>2022</v>
      </c>
      <c r="AQ3">
        <v>25093</v>
      </c>
      <c r="AR3">
        <f t="shared" ref="AR3:AR9" si="0">ROUND(AP3*$AV$2/$AP$10,0)</f>
        <v>1965</v>
      </c>
      <c r="AS3">
        <f t="shared" ref="AS3:AS9" si="1">ROUND(AQ3*$AW$2/$AQ$10,0)</f>
        <v>14179</v>
      </c>
    </row>
    <row r="4" spans="1:49">
      <c r="A4">
        <v>3598</v>
      </c>
      <c r="B4" t="s">
        <v>66</v>
      </c>
      <c r="C4">
        <v>3202590.3354899902</v>
      </c>
      <c r="D4" t="s">
        <v>66</v>
      </c>
      <c r="E4" t="s">
        <v>61</v>
      </c>
      <c r="F4">
        <v>127011592</v>
      </c>
      <c r="G4">
        <v>11592</v>
      </c>
      <c r="H4" t="s">
        <v>33</v>
      </c>
      <c r="I4">
        <v>12701</v>
      </c>
      <c r="J4" t="s">
        <v>34</v>
      </c>
      <c r="K4">
        <v>127</v>
      </c>
      <c r="L4" t="s">
        <v>35</v>
      </c>
      <c r="M4">
        <v>14900</v>
      </c>
      <c r="N4" t="s">
        <v>36</v>
      </c>
      <c r="O4" t="s">
        <v>37</v>
      </c>
      <c r="P4" t="s">
        <v>38</v>
      </c>
      <c r="Q4" t="s">
        <v>53</v>
      </c>
      <c r="R4">
        <v>320.82935079999902</v>
      </c>
      <c r="S4" t="s">
        <v>67</v>
      </c>
      <c r="T4" t="s">
        <v>41</v>
      </c>
      <c r="U4" t="s">
        <v>68</v>
      </c>
      <c r="V4" t="s">
        <v>68</v>
      </c>
      <c r="W4" t="s">
        <v>43</v>
      </c>
      <c r="X4" t="s">
        <v>44</v>
      </c>
      <c r="Y4" t="s">
        <v>68</v>
      </c>
      <c r="Z4">
        <v>8</v>
      </c>
      <c r="AA4">
        <v>0</v>
      </c>
      <c r="AB4" t="s">
        <v>62</v>
      </c>
      <c r="AC4" t="s">
        <v>63</v>
      </c>
      <c r="AD4">
        <v>14900</v>
      </c>
      <c r="AE4" t="s">
        <v>35</v>
      </c>
      <c r="AF4">
        <v>372</v>
      </c>
      <c r="AG4">
        <v>372</v>
      </c>
      <c r="AJ4" t="s">
        <v>93</v>
      </c>
      <c r="AK4" t="s">
        <v>94</v>
      </c>
      <c r="AL4">
        <v>14900</v>
      </c>
      <c r="AM4" t="s">
        <v>35</v>
      </c>
      <c r="AN4">
        <v>687</v>
      </c>
      <c r="AO4">
        <v>372</v>
      </c>
      <c r="AP4">
        <v>342</v>
      </c>
      <c r="AQ4">
        <v>5147</v>
      </c>
      <c r="AR4">
        <f t="shared" si="0"/>
        <v>332</v>
      </c>
      <c r="AS4">
        <f t="shared" si="1"/>
        <v>2908</v>
      </c>
    </row>
    <row r="5" spans="1:49">
      <c r="A5">
        <v>3609</v>
      </c>
      <c r="B5" t="s">
        <v>69</v>
      </c>
      <c r="C5">
        <v>1878632.89271</v>
      </c>
      <c r="D5" t="s">
        <v>69</v>
      </c>
      <c r="E5" t="s">
        <v>61</v>
      </c>
      <c r="F5">
        <v>127011592</v>
      </c>
      <c r="G5">
        <v>11592</v>
      </c>
      <c r="H5" t="s">
        <v>33</v>
      </c>
      <c r="I5">
        <v>12701</v>
      </c>
      <c r="J5" t="s">
        <v>34</v>
      </c>
      <c r="K5">
        <v>127</v>
      </c>
      <c r="L5" t="s">
        <v>35</v>
      </c>
      <c r="M5">
        <v>14900</v>
      </c>
      <c r="N5" t="s">
        <v>36</v>
      </c>
      <c r="O5" t="s">
        <v>37</v>
      </c>
      <c r="P5" t="s">
        <v>38</v>
      </c>
      <c r="Q5" t="s">
        <v>53</v>
      </c>
      <c r="R5">
        <v>188.19821909999899</v>
      </c>
      <c r="S5" t="s">
        <v>67</v>
      </c>
      <c r="T5" t="s">
        <v>41</v>
      </c>
      <c r="U5" t="s">
        <v>68</v>
      </c>
      <c r="V5" t="s">
        <v>68</v>
      </c>
      <c r="W5" t="s">
        <v>43</v>
      </c>
      <c r="X5" t="s">
        <v>44</v>
      </c>
      <c r="Y5" t="s">
        <v>68</v>
      </c>
      <c r="Z5">
        <v>8</v>
      </c>
      <c r="AA5">
        <v>0</v>
      </c>
      <c r="AB5" t="s">
        <v>62</v>
      </c>
      <c r="AC5" t="s">
        <v>63</v>
      </c>
      <c r="AD5">
        <v>14900</v>
      </c>
      <c r="AE5" t="s">
        <v>35</v>
      </c>
      <c r="AF5">
        <v>372</v>
      </c>
      <c r="AG5">
        <v>372</v>
      </c>
      <c r="AJ5" t="s">
        <v>58</v>
      </c>
      <c r="AK5" t="s">
        <v>59</v>
      </c>
      <c r="AL5">
        <v>14900</v>
      </c>
      <c r="AM5" t="s">
        <v>35</v>
      </c>
      <c r="AN5">
        <v>269</v>
      </c>
      <c r="AO5">
        <v>372</v>
      </c>
      <c r="AP5">
        <v>355</v>
      </c>
      <c r="AQ5">
        <v>603</v>
      </c>
      <c r="AR5">
        <f t="shared" si="0"/>
        <v>345</v>
      </c>
      <c r="AS5">
        <f t="shared" si="1"/>
        <v>341</v>
      </c>
    </row>
    <row r="6" spans="1:49">
      <c r="A6">
        <v>3636</v>
      </c>
      <c r="B6" t="s">
        <v>70</v>
      </c>
      <c r="C6">
        <v>4655192.63069</v>
      </c>
      <c r="D6" t="s">
        <v>70</v>
      </c>
      <c r="E6" t="s">
        <v>61</v>
      </c>
      <c r="F6">
        <v>127011592</v>
      </c>
      <c r="G6">
        <v>11592</v>
      </c>
      <c r="H6" t="s">
        <v>33</v>
      </c>
      <c r="I6">
        <v>12701</v>
      </c>
      <c r="J6" t="s">
        <v>34</v>
      </c>
      <c r="K6">
        <v>127</v>
      </c>
      <c r="L6" t="s">
        <v>35</v>
      </c>
      <c r="M6">
        <v>14900</v>
      </c>
      <c r="N6" t="s">
        <v>36</v>
      </c>
      <c r="O6" t="s">
        <v>37</v>
      </c>
      <c r="P6" t="s">
        <v>38</v>
      </c>
      <c r="Q6" t="s">
        <v>53</v>
      </c>
      <c r="R6">
        <v>466.34614340000002</v>
      </c>
      <c r="S6" t="s">
        <v>67</v>
      </c>
      <c r="T6" t="s">
        <v>41</v>
      </c>
      <c r="U6" t="s">
        <v>68</v>
      </c>
      <c r="V6" t="s">
        <v>68</v>
      </c>
      <c r="W6" t="s">
        <v>43</v>
      </c>
      <c r="X6" t="s">
        <v>44</v>
      </c>
      <c r="Y6" t="s">
        <v>68</v>
      </c>
      <c r="Z6">
        <v>7</v>
      </c>
      <c r="AA6">
        <v>0</v>
      </c>
      <c r="AB6" t="s">
        <v>62</v>
      </c>
      <c r="AC6" t="s">
        <v>63</v>
      </c>
      <c r="AD6">
        <v>14900</v>
      </c>
      <c r="AE6" t="s">
        <v>35</v>
      </c>
      <c r="AF6">
        <v>372</v>
      </c>
      <c r="AG6">
        <v>372</v>
      </c>
      <c r="AJ6" t="s">
        <v>73</v>
      </c>
      <c r="AK6" t="s">
        <v>74</v>
      </c>
      <c r="AL6">
        <v>14900</v>
      </c>
      <c r="AM6" t="s">
        <v>35</v>
      </c>
      <c r="AN6">
        <v>414</v>
      </c>
      <c r="AO6">
        <v>372</v>
      </c>
      <c r="AP6">
        <v>1541</v>
      </c>
      <c r="AQ6">
        <v>14829</v>
      </c>
      <c r="AR6">
        <f t="shared" si="0"/>
        <v>1498</v>
      </c>
      <c r="AS6">
        <f t="shared" si="1"/>
        <v>8379</v>
      </c>
    </row>
    <row r="7" spans="1:49">
      <c r="Y7" t="s">
        <v>101</v>
      </c>
      <c r="Z7">
        <f>SUM(Z2:Z6)</f>
        <v>219</v>
      </c>
      <c r="AA7">
        <f>SUM(AA2:AA6)</f>
        <v>300</v>
      </c>
      <c r="AJ7" t="s">
        <v>79</v>
      </c>
      <c r="AK7" t="s">
        <v>80</v>
      </c>
      <c r="AL7">
        <v>14900</v>
      </c>
      <c r="AM7" t="s">
        <v>35</v>
      </c>
      <c r="AN7">
        <v>573</v>
      </c>
      <c r="AO7">
        <v>372</v>
      </c>
      <c r="AP7">
        <v>593</v>
      </c>
      <c r="AQ7">
        <v>762</v>
      </c>
      <c r="AR7">
        <f t="shared" si="0"/>
        <v>576</v>
      </c>
      <c r="AS7">
        <f t="shared" si="1"/>
        <v>431</v>
      </c>
    </row>
    <row r="8" spans="1:49">
      <c r="AJ8" t="s">
        <v>45</v>
      </c>
      <c r="AK8" t="s">
        <v>46</v>
      </c>
      <c r="AL8">
        <v>14900</v>
      </c>
      <c r="AM8" t="s">
        <v>35</v>
      </c>
      <c r="AN8">
        <v>140</v>
      </c>
      <c r="AO8">
        <v>372</v>
      </c>
      <c r="AP8">
        <v>1789</v>
      </c>
      <c r="AQ8">
        <v>24678</v>
      </c>
      <c r="AR8">
        <f t="shared" si="0"/>
        <v>1739</v>
      </c>
      <c r="AS8">
        <f t="shared" si="1"/>
        <v>13944</v>
      </c>
    </row>
    <row r="9" spans="1:49">
      <c r="A9">
        <v>3617</v>
      </c>
      <c r="B9" t="s">
        <v>82</v>
      </c>
      <c r="C9">
        <v>3238551.3818999901</v>
      </c>
      <c r="D9" t="s">
        <v>82</v>
      </c>
      <c r="E9" t="s">
        <v>32</v>
      </c>
      <c r="F9">
        <v>127011505</v>
      </c>
      <c r="G9">
        <v>11505</v>
      </c>
      <c r="H9" t="s">
        <v>33</v>
      </c>
      <c r="I9">
        <v>12701</v>
      </c>
      <c r="J9" t="s">
        <v>34</v>
      </c>
      <c r="K9">
        <v>127</v>
      </c>
      <c r="L9" t="s">
        <v>35</v>
      </c>
      <c r="M9">
        <v>14900</v>
      </c>
      <c r="N9" t="s">
        <v>36</v>
      </c>
      <c r="O9" t="s">
        <v>37</v>
      </c>
      <c r="P9" t="s">
        <v>38</v>
      </c>
      <c r="Q9" t="s">
        <v>39</v>
      </c>
      <c r="R9">
        <v>324.42790780000001</v>
      </c>
      <c r="S9" t="s">
        <v>67</v>
      </c>
      <c r="T9" t="s">
        <v>41</v>
      </c>
      <c r="U9" t="s">
        <v>65</v>
      </c>
      <c r="V9" t="s">
        <v>65</v>
      </c>
      <c r="W9" t="s">
        <v>43</v>
      </c>
      <c r="X9" t="s">
        <v>44</v>
      </c>
      <c r="Y9" t="s">
        <v>65</v>
      </c>
      <c r="Z9">
        <v>327</v>
      </c>
      <c r="AA9" s="1">
        <v>3462</v>
      </c>
      <c r="AB9" t="s">
        <v>83</v>
      </c>
      <c r="AC9" t="s">
        <v>84</v>
      </c>
      <c r="AD9">
        <v>14900</v>
      </c>
      <c r="AE9" t="s">
        <v>35</v>
      </c>
      <c r="AF9">
        <v>633</v>
      </c>
      <c r="AG9">
        <v>372</v>
      </c>
      <c r="AJ9" t="s">
        <v>55</v>
      </c>
      <c r="AK9" t="s">
        <v>56</v>
      </c>
      <c r="AL9">
        <v>14900</v>
      </c>
      <c r="AM9" t="s">
        <v>35</v>
      </c>
      <c r="AN9">
        <v>231</v>
      </c>
      <c r="AO9">
        <v>372</v>
      </c>
      <c r="AP9">
        <v>253</v>
      </c>
      <c r="AQ9">
        <v>838</v>
      </c>
      <c r="AR9">
        <f t="shared" si="0"/>
        <v>246</v>
      </c>
      <c r="AS9">
        <f t="shared" si="1"/>
        <v>474</v>
      </c>
    </row>
    <row r="10" spans="1:49">
      <c r="A10">
        <v>3618</v>
      </c>
      <c r="B10" t="s">
        <v>85</v>
      </c>
      <c r="C10">
        <v>2211727.7014299901</v>
      </c>
      <c r="D10" t="s">
        <v>85</v>
      </c>
      <c r="E10" t="s">
        <v>32</v>
      </c>
      <c r="F10">
        <v>127011505</v>
      </c>
      <c r="G10">
        <v>11505</v>
      </c>
      <c r="H10" t="s">
        <v>33</v>
      </c>
      <c r="I10">
        <v>12701</v>
      </c>
      <c r="J10" t="s">
        <v>34</v>
      </c>
      <c r="K10">
        <v>127</v>
      </c>
      <c r="L10" t="s">
        <v>35</v>
      </c>
      <c r="M10">
        <v>14900</v>
      </c>
      <c r="N10" t="s">
        <v>36</v>
      </c>
      <c r="O10" t="s">
        <v>37</v>
      </c>
      <c r="P10" t="s">
        <v>38</v>
      </c>
      <c r="Q10" t="s">
        <v>86</v>
      </c>
      <c r="R10">
        <v>221.56407590000001</v>
      </c>
      <c r="S10" t="s">
        <v>67</v>
      </c>
      <c r="T10" t="s">
        <v>41</v>
      </c>
      <c r="U10" t="s">
        <v>65</v>
      </c>
      <c r="V10" t="s">
        <v>65</v>
      </c>
      <c r="W10" t="s">
        <v>43</v>
      </c>
      <c r="X10" t="s">
        <v>44</v>
      </c>
      <c r="Y10" t="s">
        <v>65</v>
      </c>
      <c r="Z10">
        <v>0</v>
      </c>
      <c r="AA10">
        <v>0</v>
      </c>
      <c r="AB10" t="s">
        <v>83</v>
      </c>
      <c r="AC10" t="s">
        <v>84</v>
      </c>
      <c r="AD10">
        <v>14900</v>
      </c>
      <c r="AE10" t="s">
        <v>35</v>
      </c>
      <c r="AF10">
        <v>633</v>
      </c>
      <c r="AG10">
        <v>372</v>
      </c>
      <c r="AO10" t="s">
        <v>101</v>
      </c>
      <c r="AP10">
        <f>SUM(AP2:AP9)</f>
        <v>7114</v>
      </c>
      <c r="AQ10">
        <f>SUM(AQ2:AQ9)</f>
        <v>72250</v>
      </c>
      <c r="AR10">
        <f t="shared" ref="AR10:AS10" si="2">SUM(AR2:AR9)</f>
        <v>6914</v>
      </c>
      <c r="AS10">
        <f t="shared" si="2"/>
        <v>40826</v>
      </c>
    </row>
    <row r="11" spans="1:49">
      <c r="A11">
        <v>3622</v>
      </c>
      <c r="B11" t="s">
        <v>87</v>
      </c>
      <c r="C11">
        <v>2331703.0600700001</v>
      </c>
      <c r="D11" t="s">
        <v>87</v>
      </c>
      <c r="E11" t="s">
        <v>32</v>
      </c>
      <c r="F11">
        <v>127011505</v>
      </c>
      <c r="G11">
        <v>11505</v>
      </c>
      <c r="H11" t="s">
        <v>33</v>
      </c>
      <c r="I11">
        <v>12701</v>
      </c>
      <c r="J11" t="s">
        <v>34</v>
      </c>
      <c r="K11">
        <v>127</v>
      </c>
      <c r="L11" t="s">
        <v>35</v>
      </c>
      <c r="M11">
        <v>14900</v>
      </c>
      <c r="N11" t="s">
        <v>36</v>
      </c>
      <c r="O11" t="s">
        <v>37</v>
      </c>
      <c r="P11" t="s">
        <v>38</v>
      </c>
      <c r="Q11" t="s">
        <v>86</v>
      </c>
      <c r="R11">
        <v>233.58166259999899</v>
      </c>
      <c r="S11" t="s">
        <v>67</v>
      </c>
      <c r="T11" t="s">
        <v>41</v>
      </c>
      <c r="U11" t="s">
        <v>65</v>
      </c>
      <c r="V11" t="s">
        <v>65</v>
      </c>
      <c r="W11" t="s">
        <v>43</v>
      </c>
      <c r="X11" t="s">
        <v>44</v>
      </c>
      <c r="Y11" t="s">
        <v>65</v>
      </c>
      <c r="Z11">
        <v>177</v>
      </c>
      <c r="AA11" s="1">
        <v>4033</v>
      </c>
      <c r="AB11" t="s">
        <v>83</v>
      </c>
      <c r="AC11" t="s">
        <v>84</v>
      </c>
      <c r="AD11">
        <v>14900</v>
      </c>
      <c r="AE11" t="s">
        <v>35</v>
      </c>
      <c r="AF11">
        <v>633</v>
      </c>
      <c r="AG11">
        <v>372</v>
      </c>
    </row>
    <row r="12" spans="1:49">
      <c r="A12">
        <v>3623</v>
      </c>
      <c r="B12" t="s">
        <v>88</v>
      </c>
      <c r="C12">
        <v>1413390.58175999</v>
      </c>
      <c r="D12" t="s">
        <v>88</v>
      </c>
      <c r="E12" t="s">
        <v>32</v>
      </c>
      <c r="F12">
        <v>127011505</v>
      </c>
      <c r="G12">
        <v>11505</v>
      </c>
      <c r="H12" t="s">
        <v>33</v>
      </c>
      <c r="I12">
        <v>12701</v>
      </c>
      <c r="J12" t="s">
        <v>34</v>
      </c>
      <c r="K12">
        <v>127</v>
      </c>
      <c r="L12" t="s">
        <v>35</v>
      </c>
      <c r="M12">
        <v>14900</v>
      </c>
      <c r="N12" t="s">
        <v>36</v>
      </c>
      <c r="O12" t="s">
        <v>37</v>
      </c>
      <c r="P12" t="s">
        <v>38</v>
      </c>
      <c r="Q12" t="s">
        <v>39</v>
      </c>
      <c r="R12">
        <v>141.58834210000001</v>
      </c>
      <c r="S12" t="s">
        <v>67</v>
      </c>
      <c r="T12" t="s">
        <v>41</v>
      </c>
      <c r="U12" t="s">
        <v>65</v>
      </c>
      <c r="V12" t="s">
        <v>65</v>
      </c>
      <c r="W12" t="s">
        <v>43</v>
      </c>
      <c r="X12" t="s">
        <v>44</v>
      </c>
      <c r="Y12" t="s">
        <v>65</v>
      </c>
      <c r="Z12">
        <v>250</v>
      </c>
      <c r="AA12" s="1">
        <v>4939</v>
      </c>
      <c r="AB12" t="s">
        <v>83</v>
      </c>
      <c r="AC12" t="s">
        <v>84</v>
      </c>
      <c r="AD12">
        <v>14900</v>
      </c>
      <c r="AE12" t="s">
        <v>35</v>
      </c>
      <c r="AF12">
        <v>633</v>
      </c>
      <c r="AG12">
        <v>372</v>
      </c>
    </row>
    <row r="13" spans="1:49">
      <c r="A13">
        <v>3626</v>
      </c>
      <c r="B13" t="s">
        <v>89</v>
      </c>
      <c r="C13">
        <v>5710310.4274599897</v>
      </c>
      <c r="D13" t="s">
        <v>89</v>
      </c>
      <c r="E13" t="s">
        <v>32</v>
      </c>
      <c r="F13">
        <v>127011505</v>
      </c>
      <c r="G13">
        <v>11505</v>
      </c>
      <c r="H13" t="s">
        <v>33</v>
      </c>
      <c r="I13">
        <v>12701</v>
      </c>
      <c r="J13" t="s">
        <v>34</v>
      </c>
      <c r="K13">
        <v>127</v>
      </c>
      <c r="L13" t="s">
        <v>35</v>
      </c>
      <c r="M13">
        <v>14900</v>
      </c>
      <c r="N13" t="s">
        <v>36</v>
      </c>
      <c r="O13" t="s">
        <v>37</v>
      </c>
      <c r="P13" t="s">
        <v>38</v>
      </c>
      <c r="Q13" t="s">
        <v>39</v>
      </c>
      <c r="R13">
        <v>572.03714899999898</v>
      </c>
      <c r="S13">
        <v>0</v>
      </c>
      <c r="T13" t="s">
        <v>41</v>
      </c>
      <c r="U13" t="s">
        <v>54</v>
      </c>
      <c r="V13" t="s">
        <v>54</v>
      </c>
      <c r="W13" t="s">
        <v>43</v>
      </c>
      <c r="X13" t="s">
        <v>44</v>
      </c>
      <c r="Y13" t="s">
        <v>54</v>
      </c>
      <c r="Z13">
        <v>620</v>
      </c>
      <c r="AA13" s="1">
        <v>1049</v>
      </c>
      <c r="AB13" t="s">
        <v>83</v>
      </c>
      <c r="AC13" t="s">
        <v>84</v>
      </c>
      <c r="AD13">
        <v>14900</v>
      </c>
      <c r="AE13" t="s">
        <v>35</v>
      </c>
      <c r="AF13">
        <v>633</v>
      </c>
      <c r="AG13">
        <v>372</v>
      </c>
    </row>
    <row r="14" spans="1:49">
      <c r="A14">
        <v>3628</v>
      </c>
      <c r="B14" t="s">
        <v>90</v>
      </c>
      <c r="C14">
        <v>784521.61548200005</v>
      </c>
      <c r="D14" t="s">
        <v>90</v>
      </c>
      <c r="E14" t="s">
        <v>32</v>
      </c>
      <c r="F14">
        <v>127011505</v>
      </c>
      <c r="G14">
        <v>11505</v>
      </c>
      <c r="H14" t="s">
        <v>33</v>
      </c>
      <c r="I14">
        <v>12701</v>
      </c>
      <c r="J14" t="s">
        <v>34</v>
      </c>
      <c r="K14">
        <v>127</v>
      </c>
      <c r="L14" t="s">
        <v>35</v>
      </c>
      <c r="M14">
        <v>14900</v>
      </c>
      <c r="N14" t="s">
        <v>36</v>
      </c>
      <c r="O14" t="s">
        <v>37</v>
      </c>
      <c r="P14" t="s">
        <v>38</v>
      </c>
      <c r="Q14" t="s">
        <v>39</v>
      </c>
      <c r="R14">
        <v>78.590378999999899</v>
      </c>
      <c r="S14" t="s">
        <v>67</v>
      </c>
      <c r="T14" t="s">
        <v>41</v>
      </c>
      <c r="U14" t="s">
        <v>54</v>
      </c>
      <c r="V14" t="s">
        <v>54</v>
      </c>
      <c r="W14" t="s">
        <v>43</v>
      </c>
      <c r="X14" t="s">
        <v>44</v>
      </c>
      <c r="Y14" t="s">
        <v>54</v>
      </c>
      <c r="Z14">
        <v>137</v>
      </c>
      <c r="AA14">
        <v>513</v>
      </c>
      <c r="AB14" t="s">
        <v>83</v>
      </c>
      <c r="AC14" t="s">
        <v>84</v>
      </c>
      <c r="AD14">
        <v>14900</v>
      </c>
      <c r="AE14" t="s">
        <v>35</v>
      </c>
      <c r="AF14">
        <v>633</v>
      </c>
      <c r="AG14">
        <v>372</v>
      </c>
    </row>
    <row r="15" spans="1:49">
      <c r="A15">
        <v>3629</v>
      </c>
      <c r="B15" t="s">
        <v>91</v>
      </c>
      <c r="C15">
        <v>2788620.7049099901</v>
      </c>
      <c r="D15" t="s">
        <v>91</v>
      </c>
      <c r="E15" t="s">
        <v>32</v>
      </c>
      <c r="F15">
        <v>127011505</v>
      </c>
      <c r="G15">
        <v>11505</v>
      </c>
      <c r="H15" t="s">
        <v>33</v>
      </c>
      <c r="I15">
        <v>12701</v>
      </c>
      <c r="J15" t="s">
        <v>34</v>
      </c>
      <c r="K15">
        <v>127</v>
      </c>
      <c r="L15" t="s">
        <v>35</v>
      </c>
      <c r="M15">
        <v>14900</v>
      </c>
      <c r="N15" t="s">
        <v>36</v>
      </c>
      <c r="O15" t="s">
        <v>37</v>
      </c>
      <c r="P15" t="s">
        <v>38</v>
      </c>
      <c r="Q15" t="s">
        <v>39</v>
      </c>
      <c r="R15">
        <v>279.35281789999902</v>
      </c>
      <c r="S15" t="s">
        <v>67</v>
      </c>
      <c r="T15" t="s">
        <v>41</v>
      </c>
      <c r="U15" t="s">
        <v>65</v>
      </c>
      <c r="V15" t="s">
        <v>65</v>
      </c>
      <c r="W15" t="s">
        <v>43</v>
      </c>
      <c r="X15" t="s">
        <v>44</v>
      </c>
      <c r="Y15" t="s">
        <v>65</v>
      </c>
      <c r="Z15">
        <v>511</v>
      </c>
      <c r="AA15" s="1">
        <v>11097</v>
      </c>
      <c r="AB15" t="s">
        <v>83</v>
      </c>
      <c r="AC15" t="s">
        <v>84</v>
      </c>
      <c r="AD15">
        <v>14900</v>
      </c>
      <c r="AE15" t="s">
        <v>35</v>
      </c>
      <c r="AF15">
        <v>633</v>
      </c>
      <c r="AG15">
        <v>372</v>
      </c>
    </row>
    <row r="16" spans="1:49">
      <c r="Y16" t="s">
        <v>101</v>
      </c>
      <c r="Z16">
        <f>SUM(Z9:Z15)</f>
        <v>2022</v>
      </c>
      <c r="AA16">
        <f>SUM(AA9:AA15)</f>
        <v>25093</v>
      </c>
    </row>
    <row r="17" spans="1:33">
      <c r="AA17" s="1"/>
    </row>
    <row r="18" spans="1:33">
      <c r="A18">
        <v>3599</v>
      </c>
      <c r="B18" t="s">
        <v>92</v>
      </c>
      <c r="C18">
        <v>2313250.87961999</v>
      </c>
      <c r="D18" t="s">
        <v>92</v>
      </c>
      <c r="E18" t="s">
        <v>32</v>
      </c>
      <c r="F18">
        <v>127011505</v>
      </c>
      <c r="G18">
        <v>11505</v>
      </c>
      <c r="H18" t="s">
        <v>33</v>
      </c>
      <c r="I18">
        <v>12701</v>
      </c>
      <c r="J18" t="s">
        <v>34</v>
      </c>
      <c r="K18">
        <v>127</v>
      </c>
      <c r="L18" t="s">
        <v>35</v>
      </c>
      <c r="M18">
        <v>14900</v>
      </c>
      <c r="N18" t="s">
        <v>36</v>
      </c>
      <c r="O18" t="s">
        <v>37</v>
      </c>
      <c r="P18" t="s">
        <v>38</v>
      </c>
      <c r="Q18" t="s">
        <v>39</v>
      </c>
      <c r="R18">
        <v>231.73652240000001</v>
      </c>
      <c r="S18">
        <v>0</v>
      </c>
      <c r="T18" t="s">
        <v>41</v>
      </c>
      <c r="U18" t="s">
        <v>72</v>
      </c>
      <c r="V18" t="s">
        <v>72</v>
      </c>
      <c r="W18" t="s">
        <v>43</v>
      </c>
      <c r="X18" t="s">
        <v>44</v>
      </c>
      <c r="Y18" t="s">
        <v>72</v>
      </c>
      <c r="Z18">
        <v>183</v>
      </c>
      <c r="AA18">
        <v>48</v>
      </c>
      <c r="AB18" t="s">
        <v>93</v>
      </c>
      <c r="AC18" t="s">
        <v>94</v>
      </c>
      <c r="AD18">
        <v>14900</v>
      </c>
      <c r="AE18" t="s">
        <v>35</v>
      </c>
      <c r="AF18">
        <v>687</v>
      </c>
      <c r="AG18">
        <v>372</v>
      </c>
    </row>
    <row r="19" spans="1:33">
      <c r="A19">
        <v>3615</v>
      </c>
      <c r="B19" t="s">
        <v>95</v>
      </c>
      <c r="C19">
        <v>3844599.93084</v>
      </c>
      <c r="D19" t="s">
        <v>95</v>
      </c>
      <c r="E19" t="s">
        <v>32</v>
      </c>
      <c r="F19">
        <v>127011505</v>
      </c>
      <c r="G19">
        <v>11505</v>
      </c>
      <c r="H19" t="s">
        <v>33</v>
      </c>
      <c r="I19">
        <v>12701</v>
      </c>
      <c r="J19" t="s">
        <v>34</v>
      </c>
      <c r="K19">
        <v>127</v>
      </c>
      <c r="L19" t="s">
        <v>35</v>
      </c>
      <c r="M19">
        <v>14900</v>
      </c>
      <c r="N19" t="s">
        <v>36</v>
      </c>
      <c r="O19" t="s">
        <v>37</v>
      </c>
      <c r="P19" t="s">
        <v>38</v>
      </c>
      <c r="Q19" t="s">
        <v>86</v>
      </c>
      <c r="R19">
        <v>385.14127539999902</v>
      </c>
      <c r="S19">
        <v>0</v>
      </c>
      <c r="T19" t="s">
        <v>41</v>
      </c>
      <c r="U19" t="s">
        <v>96</v>
      </c>
      <c r="V19" t="s">
        <v>96</v>
      </c>
      <c r="W19" t="s">
        <v>43</v>
      </c>
      <c r="X19" t="s">
        <v>97</v>
      </c>
      <c r="Y19" t="s">
        <v>96</v>
      </c>
      <c r="Z19">
        <v>159</v>
      </c>
      <c r="AA19" s="1">
        <v>5099</v>
      </c>
      <c r="AB19" t="s">
        <v>93</v>
      </c>
      <c r="AC19" t="s">
        <v>94</v>
      </c>
      <c r="AD19">
        <v>14900</v>
      </c>
      <c r="AE19" t="s">
        <v>35</v>
      </c>
      <c r="AF19">
        <v>687</v>
      </c>
      <c r="AG19">
        <v>372</v>
      </c>
    </row>
    <row r="20" spans="1:33">
      <c r="Y20" t="s">
        <v>101</v>
      </c>
      <c r="Z20">
        <f>SUM(Z18:Z19)</f>
        <v>342</v>
      </c>
      <c r="AA20">
        <f>SUM(AA18:AA19)</f>
        <v>5147</v>
      </c>
    </row>
    <row r="21" spans="1:33">
      <c r="AA21" s="1"/>
    </row>
    <row r="22" spans="1:33">
      <c r="A22">
        <v>3625</v>
      </c>
      <c r="B22" t="s">
        <v>57</v>
      </c>
      <c r="C22">
        <v>33871954.842600003</v>
      </c>
      <c r="D22" t="s">
        <v>57</v>
      </c>
      <c r="E22" t="s">
        <v>32</v>
      </c>
      <c r="F22">
        <v>127011505</v>
      </c>
      <c r="G22">
        <v>11505</v>
      </c>
      <c r="H22" t="s">
        <v>33</v>
      </c>
      <c r="I22">
        <v>12701</v>
      </c>
      <c r="J22" t="s">
        <v>34</v>
      </c>
      <c r="K22">
        <v>127</v>
      </c>
      <c r="L22" t="s">
        <v>35</v>
      </c>
      <c r="M22">
        <v>14900</v>
      </c>
      <c r="N22" t="s">
        <v>36</v>
      </c>
      <c r="O22" t="s">
        <v>37</v>
      </c>
      <c r="P22" t="s">
        <v>38</v>
      </c>
      <c r="Q22" t="s">
        <v>53</v>
      </c>
      <c r="R22">
        <v>3393.1650439999898</v>
      </c>
      <c r="S22">
        <v>0</v>
      </c>
      <c r="T22" t="s">
        <v>41</v>
      </c>
      <c r="U22" t="s">
        <v>54</v>
      </c>
      <c r="V22" t="s">
        <v>54</v>
      </c>
      <c r="W22" t="s">
        <v>43</v>
      </c>
      <c r="X22" t="s">
        <v>44</v>
      </c>
      <c r="Y22" t="s">
        <v>54</v>
      </c>
      <c r="Z22">
        <v>355</v>
      </c>
      <c r="AA22">
        <v>603</v>
      </c>
      <c r="AB22" t="s">
        <v>58</v>
      </c>
      <c r="AC22" t="s">
        <v>59</v>
      </c>
      <c r="AD22">
        <v>14900</v>
      </c>
      <c r="AE22" t="s">
        <v>35</v>
      </c>
      <c r="AF22">
        <v>269</v>
      </c>
      <c r="AG22">
        <v>372</v>
      </c>
    </row>
    <row r="25" spans="1:33">
      <c r="A25">
        <v>3594</v>
      </c>
      <c r="B25" t="s">
        <v>71</v>
      </c>
      <c r="C25">
        <v>1195981.8189300001</v>
      </c>
      <c r="D25" t="s">
        <v>71</v>
      </c>
      <c r="E25" t="s">
        <v>32</v>
      </c>
      <c r="F25">
        <v>127011505</v>
      </c>
      <c r="G25">
        <v>11505</v>
      </c>
      <c r="H25" t="s">
        <v>33</v>
      </c>
      <c r="I25">
        <v>12701</v>
      </c>
      <c r="J25" t="s">
        <v>34</v>
      </c>
      <c r="K25">
        <v>127</v>
      </c>
      <c r="L25" t="s">
        <v>35</v>
      </c>
      <c r="M25">
        <v>14900</v>
      </c>
      <c r="N25" t="s">
        <v>36</v>
      </c>
      <c r="O25" t="s">
        <v>37</v>
      </c>
      <c r="P25" t="s">
        <v>38</v>
      </c>
      <c r="Q25" t="s">
        <v>39</v>
      </c>
      <c r="R25">
        <v>119.810319899999</v>
      </c>
      <c r="S25">
        <v>0</v>
      </c>
      <c r="T25" t="s">
        <v>41</v>
      </c>
      <c r="U25" t="s">
        <v>72</v>
      </c>
      <c r="V25" t="s">
        <v>72</v>
      </c>
      <c r="W25" t="s">
        <v>43</v>
      </c>
      <c r="X25" t="s">
        <v>44</v>
      </c>
      <c r="Y25" t="s">
        <v>72</v>
      </c>
      <c r="Z25">
        <v>100</v>
      </c>
      <c r="AA25">
        <v>253</v>
      </c>
      <c r="AB25" t="s">
        <v>73</v>
      </c>
      <c r="AC25" t="s">
        <v>74</v>
      </c>
      <c r="AD25">
        <v>14900</v>
      </c>
      <c r="AE25" t="s">
        <v>35</v>
      </c>
      <c r="AF25">
        <v>414</v>
      </c>
      <c r="AG25">
        <v>372</v>
      </c>
    </row>
    <row r="26" spans="1:33">
      <c r="A26">
        <v>3607</v>
      </c>
      <c r="B26" t="s">
        <v>72</v>
      </c>
      <c r="C26">
        <v>3001063.5627600001</v>
      </c>
      <c r="D26" t="s">
        <v>72</v>
      </c>
      <c r="E26" t="s">
        <v>32</v>
      </c>
      <c r="F26">
        <v>127011505</v>
      </c>
      <c r="G26">
        <v>11505</v>
      </c>
      <c r="H26" t="s">
        <v>33</v>
      </c>
      <c r="I26">
        <v>12701</v>
      </c>
      <c r="J26" t="s">
        <v>34</v>
      </c>
      <c r="K26">
        <v>127</v>
      </c>
      <c r="L26" t="s">
        <v>35</v>
      </c>
      <c r="M26">
        <v>14900</v>
      </c>
      <c r="N26" t="s">
        <v>36</v>
      </c>
      <c r="O26" t="s">
        <v>37</v>
      </c>
      <c r="P26" t="s">
        <v>38</v>
      </c>
      <c r="Q26" t="s">
        <v>39</v>
      </c>
      <c r="R26">
        <v>300.64028059999902</v>
      </c>
      <c r="S26">
        <v>0</v>
      </c>
      <c r="T26" t="s">
        <v>41</v>
      </c>
      <c r="U26" t="s">
        <v>72</v>
      </c>
      <c r="V26" t="s">
        <v>72</v>
      </c>
      <c r="W26" t="s">
        <v>43</v>
      </c>
      <c r="X26" t="s">
        <v>44</v>
      </c>
      <c r="Y26" t="s">
        <v>72</v>
      </c>
      <c r="Z26">
        <v>414</v>
      </c>
      <c r="AA26">
        <v>122</v>
      </c>
      <c r="AB26" t="s">
        <v>73</v>
      </c>
      <c r="AC26" t="s">
        <v>74</v>
      </c>
      <c r="AD26">
        <v>14900</v>
      </c>
      <c r="AE26" t="s">
        <v>35</v>
      </c>
      <c r="AF26">
        <v>414</v>
      </c>
      <c r="AG26">
        <v>372</v>
      </c>
    </row>
    <row r="27" spans="1:33">
      <c r="A27">
        <v>3611</v>
      </c>
      <c r="B27" t="s">
        <v>75</v>
      </c>
      <c r="C27">
        <v>2318056.6491700001</v>
      </c>
      <c r="D27" t="s">
        <v>75</v>
      </c>
      <c r="E27" t="s">
        <v>32</v>
      </c>
      <c r="F27">
        <v>127011505</v>
      </c>
      <c r="G27">
        <v>11505</v>
      </c>
      <c r="H27" t="s">
        <v>33</v>
      </c>
      <c r="I27">
        <v>12701</v>
      </c>
      <c r="J27" t="s">
        <v>34</v>
      </c>
      <c r="K27">
        <v>127</v>
      </c>
      <c r="L27" t="s">
        <v>35</v>
      </c>
      <c r="M27">
        <v>14900</v>
      </c>
      <c r="N27" t="s">
        <v>36</v>
      </c>
      <c r="O27" t="s">
        <v>37</v>
      </c>
      <c r="P27" t="s">
        <v>38</v>
      </c>
      <c r="Q27" t="s">
        <v>39</v>
      </c>
      <c r="R27">
        <v>232.21732069999899</v>
      </c>
      <c r="S27">
        <v>0</v>
      </c>
      <c r="T27" t="s">
        <v>41</v>
      </c>
      <c r="U27" t="s">
        <v>72</v>
      </c>
      <c r="V27" t="s">
        <v>72</v>
      </c>
      <c r="W27" t="s">
        <v>43</v>
      </c>
      <c r="X27" t="s">
        <v>44</v>
      </c>
      <c r="Y27" t="s">
        <v>72</v>
      </c>
      <c r="Z27">
        <v>449</v>
      </c>
      <c r="AA27">
        <v>4</v>
      </c>
      <c r="AB27" t="s">
        <v>73</v>
      </c>
      <c r="AC27" t="s">
        <v>74</v>
      </c>
      <c r="AD27">
        <v>14900</v>
      </c>
      <c r="AE27" t="s">
        <v>35</v>
      </c>
      <c r="AF27">
        <v>414</v>
      </c>
      <c r="AG27">
        <v>372</v>
      </c>
    </row>
    <row r="28" spans="1:33">
      <c r="A28">
        <v>3613</v>
      </c>
      <c r="B28" t="s">
        <v>76</v>
      </c>
      <c r="C28">
        <v>1456408.25598999</v>
      </c>
      <c r="D28" t="s">
        <v>76</v>
      </c>
      <c r="E28" t="s">
        <v>32</v>
      </c>
      <c r="F28">
        <v>127011505</v>
      </c>
      <c r="G28">
        <v>11505</v>
      </c>
      <c r="H28" t="s">
        <v>33</v>
      </c>
      <c r="I28">
        <v>12701</v>
      </c>
      <c r="J28" t="s">
        <v>34</v>
      </c>
      <c r="K28">
        <v>127</v>
      </c>
      <c r="L28" t="s">
        <v>35</v>
      </c>
      <c r="M28">
        <v>14900</v>
      </c>
      <c r="N28" t="s">
        <v>36</v>
      </c>
      <c r="O28" t="s">
        <v>37</v>
      </c>
      <c r="P28" t="s">
        <v>38</v>
      </c>
      <c r="Q28" t="s">
        <v>39</v>
      </c>
      <c r="R28">
        <v>145.89875000000001</v>
      </c>
      <c r="S28">
        <v>0</v>
      </c>
      <c r="T28" t="s">
        <v>41</v>
      </c>
      <c r="U28" t="s">
        <v>42</v>
      </c>
      <c r="V28" t="s">
        <v>42</v>
      </c>
      <c r="W28" t="s">
        <v>43</v>
      </c>
      <c r="X28" t="s">
        <v>44</v>
      </c>
      <c r="Y28" t="s">
        <v>42</v>
      </c>
      <c r="Z28">
        <v>171</v>
      </c>
      <c r="AA28" s="1">
        <v>5929</v>
      </c>
      <c r="AB28" t="s">
        <v>73</v>
      </c>
      <c r="AC28" t="s">
        <v>74</v>
      </c>
      <c r="AD28">
        <v>14900</v>
      </c>
      <c r="AE28" t="s">
        <v>35</v>
      </c>
      <c r="AF28">
        <v>414</v>
      </c>
      <c r="AG28">
        <v>372</v>
      </c>
    </row>
    <row r="29" spans="1:33">
      <c r="A29">
        <v>3614</v>
      </c>
      <c r="B29" t="s">
        <v>77</v>
      </c>
      <c r="C29">
        <v>2910067.6525799902</v>
      </c>
      <c r="D29" t="s">
        <v>77</v>
      </c>
      <c r="E29" t="s">
        <v>32</v>
      </c>
      <c r="F29">
        <v>127011505</v>
      </c>
      <c r="G29">
        <v>11505</v>
      </c>
      <c r="H29" t="s">
        <v>33</v>
      </c>
      <c r="I29">
        <v>12701</v>
      </c>
      <c r="J29" t="s">
        <v>34</v>
      </c>
      <c r="K29">
        <v>127</v>
      </c>
      <c r="L29" t="s">
        <v>35</v>
      </c>
      <c r="M29">
        <v>14900</v>
      </c>
      <c r="N29" t="s">
        <v>36</v>
      </c>
      <c r="O29" t="s">
        <v>37</v>
      </c>
      <c r="P29" t="s">
        <v>38</v>
      </c>
      <c r="Q29" t="s">
        <v>39</v>
      </c>
      <c r="R29">
        <v>291.52205739999903</v>
      </c>
      <c r="S29">
        <v>0</v>
      </c>
      <c r="T29" t="s">
        <v>41</v>
      </c>
      <c r="U29" t="s">
        <v>42</v>
      </c>
      <c r="V29" t="s">
        <v>42</v>
      </c>
      <c r="W29" t="s">
        <v>43</v>
      </c>
      <c r="X29" t="s">
        <v>44</v>
      </c>
      <c r="Y29" t="s">
        <v>42</v>
      </c>
      <c r="Z29">
        <v>407</v>
      </c>
      <c r="AA29" s="1">
        <v>8521</v>
      </c>
      <c r="AB29" t="s">
        <v>73</v>
      </c>
      <c r="AC29" t="s">
        <v>74</v>
      </c>
      <c r="AD29">
        <v>14900</v>
      </c>
      <c r="AE29" t="s">
        <v>35</v>
      </c>
      <c r="AF29">
        <v>414</v>
      </c>
      <c r="AG29">
        <v>372</v>
      </c>
    </row>
    <row r="30" spans="1:33">
      <c r="Y30" t="s">
        <v>101</v>
      </c>
      <c r="Z30">
        <f>SUM(Z25:Z29)</f>
        <v>1541</v>
      </c>
      <c r="AA30">
        <f>SUM(AA25:AA29)</f>
        <v>14829</v>
      </c>
    </row>
    <row r="31" spans="1:33">
      <c r="AA31" s="1"/>
    </row>
    <row r="32" spans="1:33">
      <c r="A32">
        <v>4970</v>
      </c>
      <c r="B32" t="s">
        <v>78</v>
      </c>
      <c r="C32">
        <v>4969216.0931299897</v>
      </c>
      <c r="D32" t="s">
        <v>78</v>
      </c>
      <c r="E32" t="s">
        <v>50</v>
      </c>
      <c r="F32">
        <v>124031463</v>
      </c>
      <c r="G32">
        <v>11463</v>
      </c>
      <c r="H32" t="s">
        <v>51</v>
      </c>
      <c r="I32">
        <v>12403</v>
      </c>
      <c r="J32" t="s">
        <v>52</v>
      </c>
      <c r="K32">
        <v>124</v>
      </c>
      <c r="L32" t="s">
        <v>35</v>
      </c>
      <c r="M32">
        <v>14900</v>
      </c>
      <c r="N32" t="s">
        <v>36</v>
      </c>
      <c r="O32" t="s">
        <v>37</v>
      </c>
      <c r="P32" t="s">
        <v>38</v>
      </c>
      <c r="Q32" t="s">
        <v>53</v>
      </c>
      <c r="R32">
        <v>497.80772489999902</v>
      </c>
      <c r="S32">
        <v>0</v>
      </c>
      <c r="T32" t="s">
        <v>41</v>
      </c>
      <c r="U32" t="s">
        <v>54</v>
      </c>
      <c r="V32" t="s">
        <v>54</v>
      </c>
      <c r="W32" t="s">
        <v>43</v>
      </c>
      <c r="X32" t="s">
        <v>44</v>
      </c>
      <c r="Y32" t="s">
        <v>54</v>
      </c>
      <c r="Z32">
        <v>555</v>
      </c>
      <c r="AA32">
        <v>759</v>
      </c>
      <c r="AB32" t="s">
        <v>79</v>
      </c>
      <c r="AC32" t="s">
        <v>80</v>
      </c>
      <c r="AD32">
        <v>14900</v>
      </c>
      <c r="AE32" t="s">
        <v>35</v>
      </c>
      <c r="AF32">
        <v>573</v>
      </c>
      <c r="AG32">
        <v>372</v>
      </c>
    </row>
    <row r="33" spans="1:33">
      <c r="A33">
        <v>3635</v>
      </c>
      <c r="B33" t="s">
        <v>81</v>
      </c>
      <c r="C33">
        <v>7809656.2089400003</v>
      </c>
      <c r="D33" t="s">
        <v>81</v>
      </c>
      <c r="E33" t="s">
        <v>61</v>
      </c>
      <c r="F33">
        <v>127011592</v>
      </c>
      <c r="G33">
        <v>11592</v>
      </c>
      <c r="H33" t="s">
        <v>33</v>
      </c>
      <c r="I33">
        <v>12701</v>
      </c>
      <c r="J33" t="s">
        <v>34</v>
      </c>
      <c r="K33">
        <v>127</v>
      </c>
      <c r="L33" t="s">
        <v>35</v>
      </c>
      <c r="M33">
        <v>14900</v>
      </c>
      <c r="N33" t="s">
        <v>36</v>
      </c>
      <c r="O33" t="s">
        <v>37</v>
      </c>
      <c r="P33" t="s">
        <v>38</v>
      </c>
      <c r="Q33" t="s">
        <v>53</v>
      </c>
      <c r="R33">
        <v>782.35199790000001</v>
      </c>
      <c r="S33" t="s">
        <v>67</v>
      </c>
      <c r="T33" t="s">
        <v>41</v>
      </c>
      <c r="U33" t="s">
        <v>68</v>
      </c>
      <c r="V33" t="s">
        <v>68</v>
      </c>
      <c r="W33" t="s">
        <v>43</v>
      </c>
      <c r="X33" t="s">
        <v>44</v>
      </c>
      <c r="Y33" t="s">
        <v>68</v>
      </c>
      <c r="Z33">
        <v>38</v>
      </c>
      <c r="AA33">
        <v>3</v>
      </c>
      <c r="AB33" t="s">
        <v>79</v>
      </c>
      <c r="AC33" t="s">
        <v>80</v>
      </c>
      <c r="AD33">
        <v>14900</v>
      </c>
      <c r="AE33" t="s">
        <v>35</v>
      </c>
      <c r="AF33">
        <v>573</v>
      </c>
      <c r="AG33">
        <v>372</v>
      </c>
    </row>
    <row r="34" spans="1:33">
      <c r="Y34" t="s">
        <v>101</v>
      </c>
      <c r="Z34">
        <f>SUM(Z32:Z33)</f>
        <v>593</v>
      </c>
      <c r="AA34">
        <f>SUM(AA32:AA33)</f>
        <v>762</v>
      </c>
    </row>
    <row r="36" spans="1:33">
      <c r="A36">
        <v>3619</v>
      </c>
      <c r="B36" t="s">
        <v>31</v>
      </c>
      <c r="C36">
        <v>2943256.8251800002</v>
      </c>
      <c r="D36" t="s">
        <v>31</v>
      </c>
      <c r="E36" t="s">
        <v>32</v>
      </c>
      <c r="F36">
        <v>127011505</v>
      </c>
      <c r="G36">
        <v>11505</v>
      </c>
      <c r="H36" t="s">
        <v>33</v>
      </c>
      <c r="I36">
        <v>12701</v>
      </c>
      <c r="J36" t="s">
        <v>34</v>
      </c>
      <c r="K36">
        <v>127</v>
      </c>
      <c r="L36" t="s">
        <v>35</v>
      </c>
      <c r="M36">
        <v>14900</v>
      </c>
      <c r="N36" t="s">
        <v>36</v>
      </c>
      <c r="O36" t="s">
        <v>37</v>
      </c>
      <c r="P36" t="s">
        <v>38</v>
      </c>
      <c r="Q36" t="s">
        <v>39</v>
      </c>
      <c r="R36">
        <v>294.84539389999901</v>
      </c>
      <c r="S36" t="s">
        <v>40</v>
      </c>
      <c r="T36" t="s">
        <v>41</v>
      </c>
      <c r="U36" t="s">
        <v>42</v>
      </c>
      <c r="V36" t="s">
        <v>42</v>
      </c>
      <c r="W36" t="s">
        <v>43</v>
      </c>
      <c r="X36" t="s">
        <v>44</v>
      </c>
      <c r="Y36" t="s">
        <v>42</v>
      </c>
      <c r="Z36">
        <v>344</v>
      </c>
      <c r="AA36" s="1">
        <v>6220</v>
      </c>
      <c r="AB36" t="s">
        <v>45</v>
      </c>
      <c r="AC36" t="s">
        <v>46</v>
      </c>
      <c r="AD36">
        <v>14900</v>
      </c>
      <c r="AE36" t="s">
        <v>35</v>
      </c>
      <c r="AF36">
        <v>140</v>
      </c>
      <c r="AG36">
        <v>372</v>
      </c>
    </row>
    <row r="37" spans="1:33">
      <c r="A37">
        <v>3620</v>
      </c>
      <c r="B37" t="s">
        <v>47</v>
      </c>
      <c r="C37">
        <v>2808010.75969999</v>
      </c>
      <c r="D37" t="s">
        <v>47</v>
      </c>
      <c r="E37" t="s">
        <v>32</v>
      </c>
      <c r="F37">
        <v>127011505</v>
      </c>
      <c r="G37">
        <v>11505</v>
      </c>
      <c r="H37" t="s">
        <v>33</v>
      </c>
      <c r="I37">
        <v>12701</v>
      </c>
      <c r="J37" t="s">
        <v>34</v>
      </c>
      <c r="K37">
        <v>127</v>
      </c>
      <c r="L37" t="s">
        <v>35</v>
      </c>
      <c r="M37">
        <v>14900</v>
      </c>
      <c r="N37" t="s">
        <v>36</v>
      </c>
      <c r="O37" t="s">
        <v>37</v>
      </c>
      <c r="P37" t="s">
        <v>38</v>
      </c>
      <c r="Q37" t="s">
        <v>39</v>
      </c>
      <c r="R37">
        <v>281.29674240000003</v>
      </c>
      <c r="S37">
        <v>0</v>
      </c>
      <c r="T37" t="s">
        <v>41</v>
      </c>
      <c r="U37" t="s">
        <v>42</v>
      </c>
      <c r="V37" t="s">
        <v>42</v>
      </c>
      <c r="W37" t="s">
        <v>43</v>
      </c>
      <c r="X37" t="s">
        <v>44</v>
      </c>
      <c r="Y37" t="s">
        <v>42</v>
      </c>
      <c r="Z37">
        <v>483</v>
      </c>
      <c r="AA37" s="1">
        <v>6674</v>
      </c>
      <c r="AB37" t="s">
        <v>45</v>
      </c>
      <c r="AC37" t="s">
        <v>46</v>
      </c>
      <c r="AD37">
        <v>14900</v>
      </c>
      <c r="AE37" t="s">
        <v>35</v>
      </c>
      <c r="AF37">
        <v>140</v>
      </c>
      <c r="AG37">
        <v>372</v>
      </c>
    </row>
    <row r="38" spans="1:33">
      <c r="A38">
        <v>3631</v>
      </c>
      <c r="B38" t="s">
        <v>42</v>
      </c>
      <c r="C38">
        <v>2664091.7564400001</v>
      </c>
      <c r="D38" t="s">
        <v>42</v>
      </c>
      <c r="E38" t="s">
        <v>32</v>
      </c>
      <c r="F38">
        <v>127011505</v>
      </c>
      <c r="G38">
        <v>11505</v>
      </c>
      <c r="H38" t="s">
        <v>33</v>
      </c>
      <c r="I38">
        <v>12701</v>
      </c>
      <c r="J38" t="s">
        <v>34</v>
      </c>
      <c r="K38">
        <v>127</v>
      </c>
      <c r="L38" t="s">
        <v>35</v>
      </c>
      <c r="M38">
        <v>14900</v>
      </c>
      <c r="N38" t="s">
        <v>36</v>
      </c>
      <c r="O38" t="s">
        <v>37</v>
      </c>
      <c r="P38" t="s">
        <v>38</v>
      </c>
      <c r="Q38" t="s">
        <v>39</v>
      </c>
      <c r="R38">
        <v>266.87782459999897</v>
      </c>
      <c r="S38" t="s">
        <v>40</v>
      </c>
      <c r="T38" t="s">
        <v>41</v>
      </c>
      <c r="U38" t="s">
        <v>42</v>
      </c>
      <c r="V38" t="s">
        <v>42</v>
      </c>
      <c r="W38" t="s">
        <v>43</v>
      </c>
      <c r="X38" t="s">
        <v>44</v>
      </c>
      <c r="Y38" t="s">
        <v>42</v>
      </c>
      <c r="Z38">
        <v>446</v>
      </c>
      <c r="AA38" s="1">
        <v>5628</v>
      </c>
      <c r="AB38" t="s">
        <v>45</v>
      </c>
      <c r="AC38" t="s">
        <v>46</v>
      </c>
      <c r="AD38">
        <v>14900</v>
      </c>
      <c r="AE38" t="s">
        <v>35</v>
      </c>
      <c r="AF38">
        <v>140</v>
      </c>
      <c r="AG38">
        <v>372</v>
      </c>
    </row>
    <row r="39" spans="1:33">
      <c r="A39">
        <v>3632</v>
      </c>
      <c r="B39" t="s">
        <v>48</v>
      </c>
      <c r="C39">
        <v>3140426.27027999</v>
      </c>
      <c r="D39" t="s">
        <v>48</v>
      </c>
      <c r="E39" t="s">
        <v>32</v>
      </c>
      <c r="F39">
        <v>127011505</v>
      </c>
      <c r="G39">
        <v>11505</v>
      </c>
      <c r="H39" t="s">
        <v>33</v>
      </c>
      <c r="I39">
        <v>12701</v>
      </c>
      <c r="J39" t="s">
        <v>34</v>
      </c>
      <c r="K39">
        <v>127</v>
      </c>
      <c r="L39" t="s">
        <v>35</v>
      </c>
      <c r="M39">
        <v>14900</v>
      </c>
      <c r="N39" t="s">
        <v>36</v>
      </c>
      <c r="O39" t="s">
        <v>37</v>
      </c>
      <c r="P39" t="s">
        <v>38</v>
      </c>
      <c r="Q39" t="s">
        <v>39</v>
      </c>
      <c r="R39">
        <v>314.59475680000003</v>
      </c>
      <c r="S39" t="s">
        <v>40</v>
      </c>
      <c r="T39" t="s">
        <v>41</v>
      </c>
      <c r="U39" t="s">
        <v>42</v>
      </c>
      <c r="V39" t="s">
        <v>42</v>
      </c>
      <c r="W39" t="s">
        <v>43</v>
      </c>
      <c r="X39" t="s">
        <v>44</v>
      </c>
      <c r="Y39" t="s">
        <v>42</v>
      </c>
      <c r="Z39">
        <v>516</v>
      </c>
      <c r="AA39" s="1">
        <v>6156</v>
      </c>
      <c r="AB39" t="s">
        <v>45</v>
      </c>
      <c r="AC39" t="s">
        <v>46</v>
      </c>
      <c r="AD39">
        <v>14900</v>
      </c>
      <c r="AE39" t="s">
        <v>35</v>
      </c>
      <c r="AF39">
        <v>140</v>
      </c>
      <c r="AG39">
        <v>372</v>
      </c>
    </row>
    <row r="40" spans="1:33">
      <c r="Y40" t="s">
        <v>101</v>
      </c>
      <c r="Z40">
        <f>SUM(Z36:Z39)</f>
        <v>1789</v>
      </c>
      <c r="AA40">
        <f>SUM(AA36:AA39)</f>
        <v>24678</v>
      </c>
    </row>
    <row r="41" spans="1:33">
      <c r="AA41" s="1"/>
    </row>
    <row r="42" spans="1:33">
      <c r="A42">
        <v>4971</v>
      </c>
      <c r="B42" t="s">
        <v>49</v>
      </c>
      <c r="C42">
        <v>10733443.091099899</v>
      </c>
      <c r="D42" t="s">
        <v>49</v>
      </c>
      <c r="E42" t="s">
        <v>50</v>
      </c>
      <c r="F42">
        <v>124031463</v>
      </c>
      <c r="G42">
        <v>11463</v>
      </c>
      <c r="H42" t="s">
        <v>51</v>
      </c>
      <c r="I42">
        <v>12403</v>
      </c>
      <c r="J42" t="s">
        <v>52</v>
      </c>
      <c r="K42">
        <v>124</v>
      </c>
      <c r="L42" t="s">
        <v>35</v>
      </c>
      <c r="M42">
        <v>14900</v>
      </c>
      <c r="N42" t="s">
        <v>36</v>
      </c>
      <c r="O42" t="s">
        <v>37</v>
      </c>
      <c r="P42" t="s">
        <v>38</v>
      </c>
      <c r="Q42" t="s">
        <v>53</v>
      </c>
      <c r="R42">
        <v>1075.2520569999899</v>
      </c>
      <c r="S42">
        <v>0</v>
      </c>
      <c r="T42" t="s">
        <v>41</v>
      </c>
      <c r="U42" t="s">
        <v>54</v>
      </c>
      <c r="V42" t="s">
        <v>54</v>
      </c>
      <c r="W42" t="s">
        <v>43</v>
      </c>
      <c r="X42" t="s">
        <v>44</v>
      </c>
      <c r="Y42" t="s">
        <v>54</v>
      </c>
      <c r="Z42">
        <v>253</v>
      </c>
      <c r="AA42">
        <v>838</v>
      </c>
      <c r="AB42" t="s">
        <v>55</v>
      </c>
      <c r="AC42" t="s">
        <v>56</v>
      </c>
      <c r="AD42">
        <v>14900</v>
      </c>
      <c r="AE42" t="s">
        <v>35</v>
      </c>
      <c r="AF42">
        <v>231</v>
      </c>
      <c r="AG42">
        <v>372</v>
      </c>
    </row>
  </sheetData>
  <sortState xmlns:xlrd2="http://schemas.microsoft.com/office/spreadsheetml/2017/richdata2" ref="A2:AG42">
    <sortCondition ref="AC2:AC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TZCentroidsWithinLiverpoolWest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2020-07-24T05:23:53Z</dcterms:created>
  <dcterms:modified xsi:type="dcterms:W3CDTF">2020-07-24T05:40:58Z</dcterms:modified>
</cp:coreProperties>
</file>