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marayaprolu/Dropbox (Sydney Uni)/Analysis/iMove : Liverpool Project/LandUseAllocation/"/>
    </mc:Choice>
  </mc:AlternateContent>
  <xr:revisionPtr revIDLastSave="0" documentId="13_ncr:1_{7598050C-63E6-AF4D-87DB-2B6BAC1B8926}" xr6:coauthVersionLast="45" xr6:coauthVersionMax="45" xr10:uidLastSave="{00000000-0000-0000-0000-000000000000}"/>
  <bookViews>
    <workbookView xWindow="860" yWindow="560" windowWidth="34600" windowHeight="26620" xr2:uid="{2DE86A82-A420-AB40-A7C4-FF72E48EDEBD}"/>
  </bookViews>
  <sheets>
    <sheet name="ControlTotals_FiD" sheetId="4" r:id="rId1"/>
    <sheet name="ControlTotals_CoD" sheetId="1" state="hidden" r:id="rId2"/>
    <sheet name="Input_CoD" sheetId="2" state="hidden" r:id="rId3"/>
    <sheet name="TablesForMiro_CoD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3" i="4" l="1"/>
  <c r="P54" i="4"/>
  <c r="P55" i="4"/>
  <c r="P56" i="4"/>
  <c r="P52" i="4"/>
  <c r="P49" i="4"/>
  <c r="G53" i="4"/>
  <c r="G54" i="4"/>
  <c r="G55" i="4"/>
  <c r="G56" i="4"/>
  <c r="G52" i="4"/>
  <c r="G49" i="4"/>
  <c r="N48" i="4"/>
  <c r="M48" i="4"/>
  <c r="L48" i="4"/>
  <c r="K48" i="4"/>
  <c r="E48" i="4"/>
  <c r="D48" i="4"/>
  <c r="C48" i="4"/>
  <c r="B48" i="4"/>
  <c r="P34" i="4"/>
  <c r="P35" i="4"/>
  <c r="P36" i="4"/>
  <c r="P37" i="4"/>
  <c r="P33" i="4"/>
  <c r="P30" i="4"/>
  <c r="G34" i="4"/>
  <c r="G35" i="4"/>
  <c r="G36" i="4"/>
  <c r="G37" i="4"/>
  <c r="G33" i="4"/>
  <c r="G30" i="4"/>
  <c r="N29" i="4"/>
  <c r="M29" i="4"/>
  <c r="L29" i="4"/>
  <c r="K29" i="4"/>
  <c r="E29" i="4"/>
  <c r="D29" i="4"/>
  <c r="C29" i="4"/>
  <c r="B29" i="4"/>
  <c r="P15" i="4"/>
  <c r="P16" i="4"/>
  <c r="P17" i="4"/>
  <c r="P18" i="4"/>
  <c r="P14" i="4"/>
  <c r="P11" i="4"/>
  <c r="N10" i="4"/>
  <c r="M10" i="4"/>
  <c r="L10" i="4"/>
  <c r="K10" i="4"/>
  <c r="G15" i="4"/>
  <c r="G16" i="4"/>
  <c r="G17" i="4"/>
  <c r="G18" i="4"/>
  <c r="G14" i="4"/>
  <c r="G11" i="4"/>
  <c r="C10" i="4"/>
  <c r="D10" i="4"/>
  <c r="E10" i="4"/>
  <c r="B10" i="4"/>
  <c r="C4" i="4"/>
  <c r="G48" i="4" s="1"/>
  <c r="C3" i="4"/>
  <c r="P29" i="4" s="1"/>
  <c r="C2" i="4"/>
  <c r="G10" i="4" s="1"/>
  <c r="F48" i="4" l="1"/>
  <c r="G60" i="4"/>
  <c r="G61" i="4"/>
  <c r="G59" i="4"/>
  <c r="G62" i="4"/>
  <c r="G29" i="4"/>
  <c r="E33" i="4" s="1"/>
  <c r="E39" i="4" s="1"/>
  <c r="D49" i="4"/>
  <c r="D50" i="4" s="1"/>
  <c r="E52" i="4"/>
  <c r="E58" i="4" s="1"/>
  <c r="E49" i="4"/>
  <c r="G58" i="4"/>
  <c r="C52" i="4"/>
  <c r="C58" i="4" s="1"/>
  <c r="B52" i="4"/>
  <c r="B58" i="4" s="1"/>
  <c r="C49" i="4"/>
  <c r="B49" i="4"/>
  <c r="B50" i="4" s="1"/>
  <c r="D52" i="4"/>
  <c r="D58" i="4" s="1"/>
  <c r="P48" i="4"/>
  <c r="P50" i="4" s="1"/>
  <c r="P41" i="4"/>
  <c r="P43" i="4"/>
  <c r="L33" i="4"/>
  <c r="L39" i="4" s="1"/>
  <c r="K33" i="4"/>
  <c r="K39" i="4" s="1"/>
  <c r="N30" i="4"/>
  <c r="M33" i="4"/>
  <c r="M39" i="4" s="1"/>
  <c r="P40" i="4"/>
  <c r="P42" i="4"/>
  <c r="N33" i="4"/>
  <c r="N39" i="4" s="1"/>
  <c r="L30" i="4"/>
  <c r="L31" i="4" s="1"/>
  <c r="K30" i="4"/>
  <c r="K31" i="4" s="1"/>
  <c r="O29" i="4"/>
  <c r="P39" i="4"/>
  <c r="M30" i="4"/>
  <c r="M35" i="4" s="1"/>
  <c r="M41" i="4" s="1"/>
  <c r="G41" i="4"/>
  <c r="B30" i="4"/>
  <c r="B31" i="4" s="1"/>
  <c r="F10" i="4"/>
  <c r="E14" i="4"/>
  <c r="E20" i="4" s="1"/>
  <c r="C11" i="4"/>
  <c r="B11" i="4"/>
  <c r="B12" i="4" s="1"/>
  <c r="G23" i="4"/>
  <c r="D11" i="4"/>
  <c r="G24" i="4"/>
  <c r="G20" i="4"/>
  <c r="G12" i="4"/>
  <c r="C14" i="4"/>
  <c r="C20" i="4" s="1"/>
  <c r="B14" i="4"/>
  <c r="B20" i="4" s="1"/>
  <c r="E11" i="4"/>
  <c r="G21" i="4"/>
  <c r="D14" i="4"/>
  <c r="D20" i="4" s="1"/>
  <c r="G22" i="4"/>
  <c r="P10" i="4"/>
  <c r="P24" i="4" s="1"/>
  <c r="G50" i="4"/>
  <c r="L34" i="4"/>
  <c r="L40" i="4" s="1"/>
  <c r="P31" i="4"/>
  <c r="M55" i="1"/>
  <c r="L55" i="1"/>
  <c r="K55" i="1"/>
  <c r="J55" i="1"/>
  <c r="E55" i="1"/>
  <c r="D55" i="1"/>
  <c r="C55" i="1"/>
  <c r="B55" i="1"/>
  <c r="G24" i="1"/>
  <c r="G25" i="1" s="1"/>
  <c r="G26" i="1" s="1"/>
  <c r="G27" i="1" s="1"/>
  <c r="M37" i="1"/>
  <c r="L37" i="1"/>
  <c r="K37" i="1"/>
  <c r="J37" i="1"/>
  <c r="G38" i="1"/>
  <c r="E37" i="1"/>
  <c r="D37" i="1"/>
  <c r="C37" i="1"/>
  <c r="B37" i="1"/>
  <c r="G40" i="4" l="1"/>
  <c r="C33" i="4"/>
  <c r="C39" i="4" s="1"/>
  <c r="D30" i="4"/>
  <c r="D35" i="4" s="1"/>
  <c r="D41" i="4" s="1"/>
  <c r="M34" i="4"/>
  <c r="M40" i="4" s="1"/>
  <c r="D33" i="4"/>
  <c r="D39" i="4" s="1"/>
  <c r="G39" i="4"/>
  <c r="B33" i="4"/>
  <c r="B39" i="4" s="1"/>
  <c r="G31" i="4"/>
  <c r="D53" i="4"/>
  <c r="D59" i="4" s="1"/>
  <c r="C30" i="4"/>
  <c r="C31" i="4" s="1"/>
  <c r="D54" i="4"/>
  <c r="M31" i="4"/>
  <c r="G43" i="4"/>
  <c r="F29" i="4"/>
  <c r="E30" i="4"/>
  <c r="E36" i="4" s="1"/>
  <c r="E42" i="4" s="1"/>
  <c r="G42" i="4"/>
  <c r="P59" i="4"/>
  <c r="P61" i="4"/>
  <c r="N52" i="4"/>
  <c r="N58" i="4" s="1"/>
  <c r="L49" i="4"/>
  <c r="K49" i="4"/>
  <c r="K50" i="4" s="1"/>
  <c r="O48" i="4"/>
  <c r="P58" i="4"/>
  <c r="M49" i="4"/>
  <c r="P60" i="4"/>
  <c r="P62" i="4"/>
  <c r="L52" i="4"/>
  <c r="L58" i="4" s="1"/>
  <c r="K52" i="4"/>
  <c r="K58" i="4" s="1"/>
  <c r="N49" i="4"/>
  <c r="N53" i="4" s="1"/>
  <c r="N59" i="4" s="1"/>
  <c r="M52" i="4"/>
  <c r="M58" i="4" s="1"/>
  <c r="F52" i="4"/>
  <c r="F58" i="4" s="1"/>
  <c r="F49" i="4"/>
  <c r="O30" i="4"/>
  <c r="O33" i="4"/>
  <c r="O39" i="4" s="1"/>
  <c r="D31" i="4"/>
  <c r="D34" i="4"/>
  <c r="D40" i="4" s="1"/>
  <c r="E15" i="4"/>
  <c r="E21" i="4" s="1"/>
  <c r="E12" i="4"/>
  <c r="E16" i="4"/>
  <c r="E22" i="4" s="1"/>
  <c r="E17" i="4"/>
  <c r="C15" i="4"/>
  <c r="C12" i="4"/>
  <c r="D12" i="4"/>
  <c r="D16" i="4"/>
  <c r="D15" i="4"/>
  <c r="D21" i="4" s="1"/>
  <c r="O10" i="4"/>
  <c r="K14" i="4"/>
  <c r="K20" i="4" s="1"/>
  <c r="N11" i="4"/>
  <c r="P23" i="4"/>
  <c r="P12" i="4"/>
  <c r="L14" i="4"/>
  <c r="L20" i="4" s="1"/>
  <c r="P21" i="4"/>
  <c r="P20" i="4"/>
  <c r="M14" i="4"/>
  <c r="M20" i="4" s="1"/>
  <c r="L11" i="4"/>
  <c r="L12" i="4" s="1"/>
  <c r="K11" i="4"/>
  <c r="K12" i="4" s="1"/>
  <c r="P22" i="4"/>
  <c r="N14" i="4"/>
  <c r="N20" i="4" s="1"/>
  <c r="M11" i="4"/>
  <c r="M15" i="4" s="1"/>
  <c r="M21" i="4" s="1"/>
  <c r="F14" i="4"/>
  <c r="F20" i="4" s="1"/>
  <c r="F11" i="4"/>
  <c r="C53" i="4"/>
  <c r="C59" i="4" s="1"/>
  <c r="C50" i="4"/>
  <c r="E50" i="4"/>
  <c r="E53" i="4"/>
  <c r="E59" i="4" s="1"/>
  <c r="E54" i="4"/>
  <c r="E60" i="4" s="1"/>
  <c r="E55" i="4"/>
  <c r="E61" i="4" s="1"/>
  <c r="F55" i="4"/>
  <c r="F61" i="4" s="1"/>
  <c r="N36" i="4"/>
  <c r="N42" i="4" s="1"/>
  <c r="N35" i="4"/>
  <c r="N41" i="4" s="1"/>
  <c r="N34" i="4"/>
  <c r="N40" i="4" s="1"/>
  <c r="N31" i="4"/>
  <c r="L15" i="4"/>
  <c r="M19" i="1"/>
  <c r="L19" i="1"/>
  <c r="K19" i="1"/>
  <c r="J19" i="1"/>
  <c r="C19" i="1"/>
  <c r="D19" i="1"/>
  <c r="E19" i="1"/>
  <c r="B19" i="1"/>
  <c r="M16" i="4" l="1"/>
  <c r="C34" i="4"/>
  <c r="C40" i="4" s="1"/>
  <c r="E35" i="4"/>
  <c r="E41" i="4" s="1"/>
  <c r="E31" i="4"/>
  <c r="E34" i="4"/>
  <c r="E40" i="4" s="1"/>
  <c r="N54" i="4"/>
  <c r="N60" i="4" s="1"/>
  <c r="N55" i="4"/>
  <c r="N61" i="4" s="1"/>
  <c r="N50" i="4"/>
  <c r="D60" i="4"/>
  <c r="F53" i="4"/>
  <c r="F59" i="4" s="1"/>
  <c r="F30" i="4"/>
  <c r="F33" i="4"/>
  <c r="F39" i="4" s="1"/>
  <c r="L53" i="4"/>
  <c r="L59" i="4" s="1"/>
  <c r="L50" i="4"/>
  <c r="O52" i="4"/>
  <c r="O58" i="4" s="1"/>
  <c r="O49" i="4"/>
  <c r="M54" i="4"/>
  <c r="M60" i="4" s="1"/>
  <c r="M50" i="4"/>
  <c r="M53" i="4"/>
  <c r="M59" i="4" s="1"/>
  <c r="F54" i="4"/>
  <c r="F60" i="4" s="1"/>
  <c r="F56" i="4"/>
  <c r="F50" i="4"/>
  <c r="O36" i="4"/>
  <c r="O42" i="4" s="1"/>
  <c r="O34" i="4"/>
  <c r="O40" i="4" s="1"/>
  <c r="O37" i="4"/>
  <c r="O35" i="4"/>
  <c r="O41" i="4" s="1"/>
  <c r="O31" i="4"/>
  <c r="N17" i="4"/>
  <c r="N23" i="4" s="1"/>
  <c r="N15" i="4"/>
  <c r="N21" i="4" s="1"/>
  <c r="N16" i="4"/>
  <c r="N22" i="4" s="1"/>
  <c r="N12" i="4"/>
  <c r="E23" i="4"/>
  <c r="M12" i="4"/>
  <c r="O14" i="4"/>
  <c r="O20" i="4" s="1"/>
  <c r="O11" i="4"/>
  <c r="D22" i="4"/>
  <c r="F12" i="4"/>
  <c r="F18" i="4"/>
  <c r="F17" i="4"/>
  <c r="F23" i="4" s="1"/>
  <c r="F16" i="4"/>
  <c r="F22" i="4" s="1"/>
  <c r="F15" i="4"/>
  <c r="F21" i="4" s="1"/>
  <c r="C21" i="4"/>
  <c r="B55" i="4"/>
  <c r="B61" i="4" s="1"/>
  <c r="L21" i="4"/>
  <c r="M22" i="4"/>
  <c r="C2" i="1"/>
  <c r="G19" i="1" s="1"/>
  <c r="C3" i="1"/>
  <c r="C4" i="1"/>
  <c r="B53" i="4" l="1"/>
  <c r="B59" i="4" s="1"/>
  <c r="K36" i="4"/>
  <c r="K42" i="4" s="1"/>
  <c r="K34" i="4"/>
  <c r="K40" i="4" s="1"/>
  <c r="B54" i="4"/>
  <c r="B60" i="4" s="1"/>
  <c r="F62" i="4"/>
  <c r="B56" i="4"/>
  <c r="B62" i="4" s="1"/>
  <c r="F35" i="4"/>
  <c r="F37" i="4"/>
  <c r="F36" i="4"/>
  <c r="F34" i="4"/>
  <c r="F31" i="4"/>
  <c r="B17" i="4"/>
  <c r="B23" i="4" s="1"/>
  <c r="O55" i="4"/>
  <c r="O53" i="4"/>
  <c r="O59" i="4" s="1"/>
  <c r="O56" i="4"/>
  <c r="O50" i="4"/>
  <c r="O54" i="4"/>
  <c r="K35" i="4"/>
  <c r="K41" i="4" s="1"/>
  <c r="O43" i="4"/>
  <c r="K37" i="4"/>
  <c r="B16" i="4"/>
  <c r="B15" i="4"/>
  <c r="B21" i="4" s="1"/>
  <c r="B18" i="4"/>
  <c r="F24" i="4"/>
  <c r="O17" i="4"/>
  <c r="O16" i="4"/>
  <c r="O12" i="4"/>
  <c r="O18" i="4"/>
  <c r="O15" i="4"/>
  <c r="D55" i="4"/>
  <c r="D61" i="4" s="1"/>
  <c r="C55" i="4"/>
  <c r="C61" i="4" s="1"/>
  <c r="L36" i="4"/>
  <c r="L42" i="4" s="1"/>
  <c r="O55" i="1"/>
  <c r="G55" i="1"/>
  <c r="G37" i="1"/>
  <c r="O37" i="1"/>
  <c r="B23" i="1"/>
  <c r="B29" i="1" s="1"/>
  <c r="O19" i="1"/>
  <c r="K53" i="4" l="1"/>
  <c r="K59" i="4" s="1"/>
  <c r="M36" i="4"/>
  <c r="M42" i="4" s="1"/>
  <c r="L35" i="4"/>
  <c r="L41" i="4" s="1"/>
  <c r="C54" i="4"/>
  <c r="C60" i="4" s="1"/>
  <c r="C17" i="4"/>
  <c r="C23" i="4" s="1"/>
  <c r="D56" i="4"/>
  <c r="D62" i="4" s="1"/>
  <c r="F42" i="4"/>
  <c r="B36" i="4"/>
  <c r="F40" i="4"/>
  <c r="B34" i="4"/>
  <c r="B40" i="4" s="1"/>
  <c r="D17" i="4"/>
  <c r="D23" i="4" s="1"/>
  <c r="F43" i="4"/>
  <c r="B37" i="4"/>
  <c r="E56" i="4"/>
  <c r="E62" i="4" s="1"/>
  <c r="C56" i="4"/>
  <c r="C62" i="4" s="1"/>
  <c r="F41" i="4"/>
  <c r="B35" i="4"/>
  <c r="O62" i="4"/>
  <c r="K56" i="4"/>
  <c r="O60" i="4"/>
  <c r="K54" i="4"/>
  <c r="O61" i="4"/>
  <c r="K55" i="4"/>
  <c r="K43" i="4"/>
  <c r="M37" i="4"/>
  <c r="M43" i="4" s="1"/>
  <c r="N37" i="4"/>
  <c r="N43" i="4" s="1"/>
  <c r="L37" i="4"/>
  <c r="L43" i="4" s="1"/>
  <c r="C18" i="4"/>
  <c r="C24" i="4" s="1"/>
  <c r="B24" i="4"/>
  <c r="E18" i="4"/>
  <c r="E24" i="4" s="1"/>
  <c r="D18" i="4"/>
  <c r="D24" i="4" s="1"/>
  <c r="O22" i="4"/>
  <c r="K16" i="4"/>
  <c r="O24" i="4"/>
  <c r="K18" i="4"/>
  <c r="O21" i="4"/>
  <c r="K15" i="4"/>
  <c r="K21" i="4" s="1"/>
  <c r="K17" i="4"/>
  <c r="O23" i="4"/>
  <c r="B22" i="4"/>
  <c r="C16" i="4"/>
  <c r="C22" i="4" s="1"/>
  <c r="L20" i="1"/>
  <c r="M20" i="1"/>
  <c r="J20" i="1"/>
  <c r="J21" i="1" s="1"/>
  <c r="K20" i="1"/>
  <c r="G57" i="1"/>
  <c r="G65" i="1"/>
  <c r="C59" i="1"/>
  <c r="C65" i="1" s="1"/>
  <c r="G69" i="1"/>
  <c r="D59" i="1"/>
  <c r="D65" i="1" s="1"/>
  <c r="B56" i="1"/>
  <c r="B57" i="1" s="1"/>
  <c r="G66" i="1"/>
  <c r="G68" i="1"/>
  <c r="F55" i="1"/>
  <c r="G67" i="1"/>
  <c r="C56" i="1"/>
  <c r="B59" i="1"/>
  <c r="B65" i="1" s="1"/>
  <c r="E56" i="1"/>
  <c r="D56" i="1"/>
  <c r="E59" i="1"/>
  <c r="E65" i="1" s="1"/>
  <c r="J59" i="1"/>
  <c r="J65" i="1" s="1"/>
  <c r="O65" i="1"/>
  <c r="O67" i="1"/>
  <c r="O69" i="1"/>
  <c r="O57" i="1"/>
  <c r="O66" i="1"/>
  <c r="O68" i="1"/>
  <c r="K59" i="1"/>
  <c r="K65" i="1" s="1"/>
  <c r="M59" i="1"/>
  <c r="M65" i="1" s="1"/>
  <c r="N55" i="1"/>
  <c r="L59" i="1"/>
  <c r="L65" i="1" s="1"/>
  <c r="L56" i="1"/>
  <c r="M56" i="1"/>
  <c r="J56" i="1"/>
  <c r="J57" i="1" s="1"/>
  <c r="K56" i="1"/>
  <c r="O21" i="1"/>
  <c r="N19" i="1"/>
  <c r="O29" i="1"/>
  <c r="L23" i="1"/>
  <c r="L29" i="1" s="1"/>
  <c r="O30" i="1"/>
  <c r="O32" i="1"/>
  <c r="O31" i="1"/>
  <c r="O33" i="1"/>
  <c r="J23" i="1"/>
  <c r="J29" i="1" s="1"/>
  <c r="K23" i="1"/>
  <c r="K29" i="1" s="1"/>
  <c r="M23" i="1"/>
  <c r="M29" i="1" s="1"/>
  <c r="C41" i="1"/>
  <c r="C47" i="1" s="1"/>
  <c r="B41" i="1"/>
  <c r="B47" i="1" s="1"/>
  <c r="D38" i="1"/>
  <c r="G49" i="1"/>
  <c r="G51" i="1"/>
  <c r="D41" i="1"/>
  <c r="D47" i="1" s="1"/>
  <c r="E38" i="1"/>
  <c r="G48" i="1"/>
  <c r="G50" i="1"/>
  <c r="C38" i="1"/>
  <c r="G47" i="1"/>
  <c r="E41" i="1"/>
  <c r="E47" i="1" s="1"/>
  <c r="B38" i="1"/>
  <c r="B39" i="1" s="1"/>
  <c r="G39" i="1"/>
  <c r="F37" i="1"/>
  <c r="O47" i="1"/>
  <c r="J41" i="1"/>
  <c r="J47" i="1" s="1"/>
  <c r="L38" i="1"/>
  <c r="O39" i="1"/>
  <c r="O49" i="1"/>
  <c r="O48" i="1"/>
  <c r="O50" i="1"/>
  <c r="L41" i="1"/>
  <c r="L47" i="1" s="1"/>
  <c r="K41" i="1"/>
  <c r="K47" i="1" s="1"/>
  <c r="M38" i="1"/>
  <c r="K38" i="1"/>
  <c r="M41" i="1"/>
  <c r="M47" i="1" s="1"/>
  <c r="N37" i="1"/>
  <c r="O51" i="1"/>
  <c r="J38" i="1"/>
  <c r="J39" i="1" s="1"/>
  <c r="F19" i="1"/>
  <c r="E23" i="1"/>
  <c r="E29" i="1" s="1"/>
  <c r="G29" i="1"/>
  <c r="G31" i="1"/>
  <c r="D23" i="1"/>
  <c r="D29" i="1" s="1"/>
  <c r="G21" i="1"/>
  <c r="E20" i="1"/>
  <c r="G33" i="1"/>
  <c r="G30" i="1"/>
  <c r="G32" i="1"/>
  <c r="D20" i="1"/>
  <c r="B20" i="1"/>
  <c r="B21" i="1" s="1"/>
  <c r="C23" i="1"/>
  <c r="C29" i="1" s="1"/>
  <c r="C20" i="1"/>
  <c r="C21" i="1" s="1"/>
  <c r="B42" i="4" l="1"/>
  <c r="D36" i="4"/>
  <c r="D42" i="4" s="1"/>
  <c r="C36" i="4"/>
  <c r="C42" i="4" s="1"/>
  <c r="B41" i="4"/>
  <c r="C35" i="4"/>
  <c r="C41" i="4" s="1"/>
  <c r="B43" i="4"/>
  <c r="E37" i="4"/>
  <c r="E43" i="4" s="1"/>
  <c r="D37" i="4"/>
  <c r="D43" i="4" s="1"/>
  <c r="C37" i="4"/>
  <c r="C43" i="4" s="1"/>
  <c r="N56" i="4"/>
  <c r="N62" i="4" s="1"/>
  <c r="K62" i="4"/>
  <c r="L56" i="4"/>
  <c r="L62" i="4" s="1"/>
  <c r="M56" i="4"/>
  <c r="M62" i="4" s="1"/>
  <c r="K60" i="4"/>
  <c r="L54" i="4"/>
  <c r="L60" i="4" s="1"/>
  <c r="K61" i="4"/>
  <c r="L55" i="4"/>
  <c r="L61" i="4" s="1"/>
  <c r="M55" i="4"/>
  <c r="M61" i="4" s="1"/>
  <c r="L16" i="4"/>
  <c r="L22" i="4" s="1"/>
  <c r="K22" i="4"/>
  <c r="K24" i="4"/>
  <c r="M18" i="4"/>
  <c r="M24" i="4" s="1"/>
  <c r="L18" i="4"/>
  <c r="L24" i="4" s="1"/>
  <c r="N18" i="4"/>
  <c r="N24" i="4" s="1"/>
  <c r="K23" i="4"/>
  <c r="M17" i="4"/>
  <c r="M23" i="4" s="1"/>
  <c r="L17" i="4"/>
  <c r="L23" i="4" s="1"/>
  <c r="E60" i="1"/>
  <c r="E66" i="1" s="1"/>
  <c r="E61" i="1"/>
  <c r="E67" i="1" s="1"/>
  <c r="E57" i="1"/>
  <c r="E62" i="1"/>
  <c r="M60" i="1"/>
  <c r="M66" i="1" s="1"/>
  <c r="M57" i="1"/>
  <c r="M62" i="1"/>
  <c r="M68" i="1" s="1"/>
  <c r="M61" i="1"/>
  <c r="M67" i="1" s="1"/>
  <c r="L57" i="1"/>
  <c r="L61" i="1"/>
  <c r="L60" i="1"/>
  <c r="L66" i="1" s="1"/>
  <c r="C57" i="1"/>
  <c r="C60" i="1"/>
  <c r="C66" i="1" s="1"/>
  <c r="N23" i="1"/>
  <c r="N29" i="1" s="1"/>
  <c r="N20" i="1"/>
  <c r="K60" i="1"/>
  <c r="K66" i="1" s="1"/>
  <c r="K57" i="1"/>
  <c r="D60" i="1"/>
  <c r="D66" i="1" s="1"/>
  <c r="D61" i="1"/>
  <c r="D57" i="1"/>
  <c r="N56" i="1"/>
  <c r="N59" i="1"/>
  <c r="N65" i="1" s="1"/>
  <c r="F56" i="1"/>
  <c r="F59" i="1"/>
  <c r="F65" i="1" s="1"/>
  <c r="M21" i="1"/>
  <c r="M26" i="1"/>
  <c r="M32" i="1" s="1"/>
  <c r="M25" i="1"/>
  <c r="M31" i="1" s="1"/>
  <c r="M24" i="1"/>
  <c r="M30" i="1" s="1"/>
  <c r="K21" i="1"/>
  <c r="K24" i="1"/>
  <c r="K30" i="1" s="1"/>
  <c r="C24" i="1"/>
  <c r="C30" i="1" s="1"/>
  <c r="L21" i="1"/>
  <c r="L25" i="1"/>
  <c r="L31" i="1" s="1"/>
  <c r="L24" i="1"/>
  <c r="L30" i="1" s="1"/>
  <c r="F38" i="1"/>
  <c r="F41" i="1"/>
  <c r="F47" i="1" s="1"/>
  <c r="E44" i="1"/>
  <c r="E43" i="1"/>
  <c r="E49" i="1" s="1"/>
  <c r="E42" i="1"/>
  <c r="E48" i="1" s="1"/>
  <c r="E39" i="1"/>
  <c r="K42" i="1"/>
  <c r="K48" i="1" s="1"/>
  <c r="K39" i="1"/>
  <c r="L42" i="1"/>
  <c r="L48" i="1" s="1"/>
  <c r="L39" i="1"/>
  <c r="L43" i="1"/>
  <c r="C42" i="1"/>
  <c r="C48" i="1" s="1"/>
  <c r="C39" i="1"/>
  <c r="N38" i="1"/>
  <c r="N41" i="1"/>
  <c r="N47" i="1" s="1"/>
  <c r="D42" i="1"/>
  <c r="D48" i="1" s="1"/>
  <c r="D43" i="1"/>
  <c r="D39" i="1"/>
  <c r="M44" i="1"/>
  <c r="M42" i="1"/>
  <c r="M48" i="1" s="1"/>
  <c r="M39" i="1"/>
  <c r="M43" i="1"/>
  <c r="M49" i="1" s="1"/>
  <c r="F20" i="1"/>
  <c r="E26" i="1"/>
  <c r="E24" i="1"/>
  <c r="E30" i="1" s="1"/>
  <c r="E21" i="1"/>
  <c r="E25" i="1"/>
  <c r="E31" i="1" s="1"/>
  <c r="D25" i="1"/>
  <c r="D21" i="1"/>
  <c r="D24" i="1"/>
  <c r="D30" i="1" s="1"/>
  <c r="F23" i="1"/>
  <c r="F29" i="1" s="1"/>
  <c r="N57" i="1" l="1"/>
  <c r="N62" i="1"/>
  <c r="N61" i="1"/>
  <c r="N67" i="1" s="1"/>
  <c r="N63" i="1"/>
  <c r="N60" i="1"/>
  <c r="E68" i="1"/>
  <c r="F61" i="1"/>
  <c r="F67" i="1" s="1"/>
  <c r="F57" i="1"/>
  <c r="F63" i="1"/>
  <c r="F60" i="1"/>
  <c r="F62" i="1"/>
  <c r="F68" i="1" s="1"/>
  <c r="D67" i="1"/>
  <c r="L67" i="1"/>
  <c r="N21" i="1"/>
  <c r="N26" i="1"/>
  <c r="N24" i="1"/>
  <c r="N27" i="1"/>
  <c r="N25" i="1"/>
  <c r="M50" i="1"/>
  <c r="L49" i="1"/>
  <c r="E50" i="1"/>
  <c r="N42" i="1"/>
  <c r="N45" i="1"/>
  <c r="N43" i="1"/>
  <c r="N49" i="1" s="1"/>
  <c r="N44" i="1"/>
  <c r="N50" i="1" s="1"/>
  <c r="N39" i="1"/>
  <c r="D49" i="1"/>
  <c r="F39" i="1"/>
  <c r="F45" i="1"/>
  <c r="F43" i="1"/>
  <c r="F49" i="1" s="1"/>
  <c r="F42" i="1"/>
  <c r="F44" i="1"/>
  <c r="F50" i="1" s="1"/>
  <c r="D31" i="1"/>
  <c r="E32" i="1"/>
  <c r="F21" i="1"/>
  <c r="F24" i="1"/>
  <c r="F26" i="1"/>
  <c r="F32" i="1" s="1"/>
  <c r="F27" i="1"/>
  <c r="B27" i="1" s="1"/>
  <c r="F25" i="1"/>
  <c r="F31" i="1" s="1"/>
  <c r="B62" i="1" l="1"/>
  <c r="J61" i="1"/>
  <c r="J67" i="1" s="1"/>
  <c r="J63" i="1"/>
  <c r="N69" i="1"/>
  <c r="F66" i="1"/>
  <c r="B60" i="1"/>
  <c r="B66" i="1" s="1"/>
  <c r="B68" i="1"/>
  <c r="C62" i="1"/>
  <c r="B61" i="1"/>
  <c r="F69" i="1"/>
  <c r="B63" i="1"/>
  <c r="J62" i="1"/>
  <c r="N68" i="1"/>
  <c r="J60" i="1"/>
  <c r="J66" i="1" s="1"/>
  <c r="N66" i="1"/>
  <c r="B25" i="1"/>
  <c r="C25" i="1" s="1"/>
  <c r="C31" i="1" s="1"/>
  <c r="N32" i="1"/>
  <c r="J26" i="1"/>
  <c r="J43" i="1"/>
  <c r="J49" i="1" s="1"/>
  <c r="N31" i="1"/>
  <c r="J25" i="1"/>
  <c r="N30" i="1"/>
  <c r="J24" i="1"/>
  <c r="J30" i="1" s="1"/>
  <c r="J27" i="1"/>
  <c r="N33" i="1"/>
  <c r="B26" i="1"/>
  <c r="B32" i="1" s="1"/>
  <c r="N51" i="1"/>
  <c r="J45" i="1"/>
  <c r="J44" i="1"/>
  <c r="F51" i="1"/>
  <c r="B45" i="1"/>
  <c r="N48" i="1"/>
  <c r="J42" i="1"/>
  <c r="J48" i="1" s="1"/>
  <c r="B44" i="1"/>
  <c r="F48" i="1"/>
  <c r="B42" i="1"/>
  <c r="B48" i="1" s="1"/>
  <c r="B43" i="1"/>
  <c r="F33" i="1"/>
  <c r="F30" i="1"/>
  <c r="B24" i="1"/>
  <c r="B30" i="1" s="1"/>
  <c r="B31" i="1" l="1"/>
  <c r="K61" i="1"/>
  <c r="K67" i="1" s="1"/>
  <c r="J68" i="1"/>
  <c r="K62" i="1"/>
  <c r="B69" i="1"/>
  <c r="C63" i="1"/>
  <c r="C68" i="1"/>
  <c r="D62" i="1"/>
  <c r="D68" i="1" s="1"/>
  <c r="B67" i="1"/>
  <c r="C61" i="1"/>
  <c r="C67" i="1" s="1"/>
  <c r="J69" i="1"/>
  <c r="K63" i="1"/>
  <c r="K43" i="1"/>
  <c r="K49" i="1" s="1"/>
  <c r="C26" i="1"/>
  <c r="D26" i="1" s="1"/>
  <c r="D32" i="1" s="1"/>
  <c r="K27" i="1"/>
  <c r="J33" i="1"/>
  <c r="J32" i="1"/>
  <c r="K26" i="1"/>
  <c r="K25" i="1"/>
  <c r="K31" i="1" s="1"/>
  <c r="J31" i="1"/>
  <c r="B51" i="1"/>
  <c r="C45" i="1"/>
  <c r="J50" i="1"/>
  <c r="K44" i="1"/>
  <c r="B50" i="1"/>
  <c r="C44" i="1"/>
  <c r="J51" i="1"/>
  <c r="K45" i="1"/>
  <c r="B49" i="1"/>
  <c r="C43" i="1"/>
  <c r="C49" i="1" s="1"/>
  <c r="B33" i="1"/>
  <c r="C27" i="1"/>
  <c r="C69" i="1" l="1"/>
  <c r="D63" i="1"/>
  <c r="K69" i="1"/>
  <c r="L63" i="1"/>
  <c r="K68" i="1"/>
  <c r="L62" i="1"/>
  <c r="L68" i="1" s="1"/>
  <c r="C32" i="1"/>
  <c r="K32" i="1"/>
  <c r="L26" i="1"/>
  <c r="L32" i="1" s="1"/>
  <c r="L27" i="1"/>
  <c r="K33" i="1"/>
  <c r="C50" i="1"/>
  <c r="D44" i="1"/>
  <c r="D50" i="1" s="1"/>
  <c r="C51" i="1"/>
  <c r="D45" i="1"/>
  <c r="K51" i="1"/>
  <c r="L45" i="1"/>
  <c r="K50" i="1"/>
  <c r="L44" i="1"/>
  <c r="L50" i="1" s="1"/>
  <c r="C33" i="1"/>
  <c r="D27" i="1"/>
  <c r="D69" i="1" l="1"/>
  <c r="E63" i="1"/>
  <c r="E69" i="1" s="1"/>
  <c r="L69" i="1"/>
  <c r="M63" i="1"/>
  <c r="M69" i="1" s="1"/>
  <c r="L33" i="1"/>
  <c r="M27" i="1"/>
  <c r="M33" i="1" s="1"/>
  <c r="L51" i="1"/>
  <c r="M45" i="1"/>
  <c r="M51" i="1" s="1"/>
  <c r="D51" i="1"/>
  <c r="E45" i="1"/>
  <c r="E51" i="1" s="1"/>
  <c r="E27" i="1"/>
  <c r="E33" i="1" s="1"/>
  <c r="D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tc={2985CCE4-7CE6-7645-95DB-8D6D1BE44DC7}</author>
    <author>tc={8C080F14-912B-7149-8D78-90BB598DC203}</author>
  </authors>
  <commentList>
    <comment ref="B2" authorId="0" shapeId="0" xr:uid="{2985CCE4-7CE6-7645-95DB-8D6D1BE44DC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DevelopableLandInPopulationGeographies.csv</t>
      </text>
    </comment>
    <comment ref="F2" authorId="1" shapeId="0" xr:uid="{8C080F14-912B-7149-8D78-90BB598DC20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EmpInPopGeographies.csv</t>
      </text>
    </comment>
  </commentList>
</comments>
</file>

<file path=xl/sharedStrings.xml><?xml version="1.0" encoding="utf-8"?>
<sst xmlns="http://schemas.openxmlformats.org/spreadsheetml/2006/main" count="455" uniqueCount="71">
  <si>
    <t>SGS_CoDBC_SubPrecinct190924</t>
  </si>
  <si>
    <t>ERP_2056</t>
  </si>
  <si>
    <t>EMP_2056</t>
  </si>
  <si>
    <t>Austral</t>
  </si>
  <si>
    <t>Kemps Creek</t>
  </si>
  <si>
    <t>Rossmore</t>
  </si>
  <si>
    <t>ERP_2016</t>
  </si>
  <si>
    <t>EMP_2016</t>
  </si>
  <si>
    <t>Area ha</t>
  </si>
  <si>
    <t>Developable Area sq.m</t>
  </si>
  <si>
    <t>Superblock area ha</t>
  </si>
  <si>
    <t>Area</t>
  </si>
  <si>
    <t>Rest</t>
  </si>
  <si>
    <t>Total</t>
  </si>
  <si>
    <t>Pop 2016</t>
  </si>
  <si>
    <t>Density 2016 (pop/ha)</t>
  </si>
  <si>
    <t>Jobs 2016</t>
  </si>
  <si>
    <t>Density 2016 (job/ha)</t>
  </si>
  <si>
    <t xml:space="preserve">Austral Central (10th&amp;E) </t>
  </si>
  <si>
    <t xml:space="preserve">Austral North (15th &amp;E) </t>
  </si>
  <si>
    <t>Pop 2056</t>
  </si>
  <si>
    <t>No TOD</t>
  </si>
  <si>
    <t>One TOD</t>
  </si>
  <si>
    <t>Two TODs</t>
  </si>
  <si>
    <t>Three TODs</t>
  </si>
  <si>
    <t>Four TODs</t>
  </si>
  <si>
    <t>Pop density 2056</t>
  </si>
  <si>
    <t>Emp 2056</t>
  </si>
  <si>
    <t>Emp density 2056</t>
  </si>
  <si>
    <t>Austral North II</t>
  </si>
  <si>
    <t>Austral Central II</t>
  </si>
  <si>
    <t>Sub-Precinct</t>
  </si>
  <si>
    <t>Population</t>
  </si>
  <si>
    <t>Jobs</t>
  </si>
  <si>
    <t>Growth area summary</t>
  </si>
  <si>
    <t>Precinct summary</t>
  </si>
  <si>
    <t>Rossmore I</t>
  </si>
  <si>
    <t>Rossmore II</t>
  </si>
  <si>
    <t>Rossmore III</t>
  </si>
  <si>
    <t>Rossmore IV</t>
  </si>
  <si>
    <t>TZ aggregation</t>
  </si>
  <si>
    <t>Kemps Creek I</t>
  </si>
  <si>
    <t>Kemps Creek II</t>
  </si>
  <si>
    <t>Kemps Creek III</t>
  </si>
  <si>
    <t>Kemps Creek IV</t>
  </si>
  <si>
    <t>Jobs 2056</t>
  </si>
  <si>
    <t>Austral I</t>
  </si>
  <si>
    <t>Austral II</t>
  </si>
  <si>
    <t>Austral III</t>
  </si>
  <si>
    <t>Austral IV</t>
  </si>
  <si>
    <t>Pop Build out</t>
  </si>
  <si>
    <t>Jobs Build out</t>
  </si>
  <si>
    <t>Pop per ha 2016</t>
  </si>
  <si>
    <t>Two TOD</t>
  </si>
  <si>
    <t>Three TOD</t>
  </si>
  <si>
    <t>Four TOD</t>
  </si>
  <si>
    <t>Pop per ha Build out</t>
  </si>
  <si>
    <t>Jobs per ha 2016</t>
  </si>
  <si>
    <t>Jobs per ha Build out</t>
  </si>
  <si>
    <t>E-15</t>
  </si>
  <si>
    <t>D1/2-15</t>
  </si>
  <si>
    <t>E-10</t>
  </si>
  <si>
    <t>D1/2-10</t>
  </si>
  <si>
    <t>D-15</t>
  </si>
  <si>
    <t>C-15</t>
  </si>
  <si>
    <t>D-10</t>
  </si>
  <si>
    <t>C-10</t>
  </si>
  <si>
    <t>D-25</t>
  </si>
  <si>
    <t>C-25</t>
  </si>
  <si>
    <t>D-20</t>
  </si>
  <si>
    <t>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</si>
</sst>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6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ont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left"/>
    </xf>
    <xf numFmtId="164" fontId="0" fillId="5" borderId="0" xfId="0" applyNumberFormat="1" applyFill="1"/>
    <xf numFmtId="0" fontId="0" fillId="0" borderId="0" xfId="0" applyAlignment="1">
      <alignment horizontal="left"/>
    </xf>
    <xf numFmtId="164" fontId="0" fillId="0" borderId="0" xfId="0" applyNumberFormat="1"/>
    <xf numFmtId="164" fontId="0" fillId="6" borderId="0" xfId="0" applyNumberFormat="1" applyFill="1"/>
    <xf numFmtId="164" fontId="0" fillId="7" borderId="0" xfId="0" applyNumberFormat="1" applyFill="1"/>
    <xf numFmtId="0" fontId="2" fillId="0" borderId="0" xfId="0" applyFont="1"/>
    <xf numFmtId="164" fontId="0" fillId="0" borderId="0" xfId="0" applyNumberFormat="1" applyFill="1"/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ma Sharanya Rayaprolu" id="{0E20859A-E82C-6646-B707-47FD6BC58BC0}" userId="S::hray0449@uni.sydney.edu.au::58246fff-2f1d-4922-b6c0-dc59c3b882e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0-08-24T03:53:18.96" personId="{0E20859A-E82C-6646-B707-47FD6BC58BC0}" id="{2985CCE4-7CE6-7645-95DB-8D6D1BE44DC7}">
    <text>From DevelopableLandInPopulationGeographies.csv</text>
  </threadedComment>
  <threadedComment ref="F2" dT="2020-08-24T03:53:39.16" personId="{0E20859A-E82C-6646-B707-47FD6BC58BC0}" id="{8C080F14-912B-7149-8D78-90BB598DC203}">
    <text>From EmpInPopGeographies.csv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B2D9-A32F-464E-A39A-D2CAEA8E13C7}">
  <dimension ref="A1:P62"/>
  <sheetViews>
    <sheetView tabSelected="1" workbookViewId="0">
      <selection activeCell="N45" sqref="N45"/>
    </sheetView>
  </sheetViews>
  <sheetFormatPr baseColWidth="10" defaultRowHeight="16"/>
  <cols>
    <col min="1" max="1" width="20.83203125" style="40" customWidth="1"/>
    <col min="2" max="2" width="18.1640625" style="40" customWidth="1"/>
    <col min="3" max="3" width="14.83203125" style="40" customWidth="1"/>
    <col min="4" max="4" width="14" style="40" customWidth="1"/>
    <col min="5" max="5" width="14.83203125" style="40" customWidth="1"/>
    <col min="6" max="6" width="14.6640625" style="40" customWidth="1"/>
    <col min="7" max="7" width="18.33203125" style="40" customWidth="1"/>
    <col min="8" max="8" width="12.5" style="40" bestFit="1" customWidth="1"/>
    <col min="9" max="9" width="10.83203125" style="40"/>
    <col min="10" max="10" width="17.83203125" style="40" bestFit="1" customWidth="1"/>
    <col min="11" max="11" width="14.6640625" style="40" customWidth="1"/>
    <col min="12" max="12" width="14.1640625" style="40" customWidth="1"/>
    <col min="13" max="13" width="15.5" style="40" customWidth="1"/>
    <col min="14" max="14" width="15.83203125" style="40" customWidth="1"/>
    <col min="15" max="15" width="14.6640625" style="40" customWidth="1"/>
    <col min="16" max="16" width="15.33203125" style="40" customWidth="1"/>
    <col min="17" max="16384" width="10.83203125" style="40"/>
  </cols>
  <sheetData>
    <row r="1" spans="1:16">
      <c r="B1" s="42" t="s">
        <v>9</v>
      </c>
      <c r="C1" s="42" t="s">
        <v>8</v>
      </c>
      <c r="D1" s="42" t="s">
        <v>14</v>
      </c>
      <c r="E1" s="42" t="s">
        <v>50</v>
      </c>
      <c r="F1" s="42" t="s">
        <v>16</v>
      </c>
      <c r="G1" s="42" t="s">
        <v>51</v>
      </c>
      <c r="H1" s="42"/>
      <c r="I1" s="42"/>
      <c r="J1" s="42"/>
      <c r="K1" s="42" t="s">
        <v>10</v>
      </c>
    </row>
    <row r="2" spans="1:16">
      <c r="A2" s="40" t="s">
        <v>3</v>
      </c>
      <c r="B2" s="46">
        <v>14859985.353267301</v>
      </c>
      <c r="C2" s="41">
        <f>B2/10000</f>
        <v>1485.99853532673</v>
      </c>
      <c r="D2" s="40">
        <v>3110</v>
      </c>
      <c r="E2" s="40">
        <v>69049</v>
      </c>
      <c r="F2" s="40">
        <v>1259</v>
      </c>
      <c r="G2" s="40">
        <v>18182</v>
      </c>
      <c r="K2" s="43">
        <v>144</v>
      </c>
    </row>
    <row r="3" spans="1:16">
      <c r="A3" s="40" t="s">
        <v>5</v>
      </c>
      <c r="B3" s="46">
        <v>9863958.7723708302</v>
      </c>
      <c r="C3" s="41">
        <f>B3/10000</f>
        <v>986.39587723708303</v>
      </c>
      <c r="D3" s="40">
        <v>1739</v>
      </c>
      <c r="E3" s="40">
        <v>13944</v>
      </c>
      <c r="F3" s="40">
        <v>587</v>
      </c>
      <c r="G3" s="40">
        <v>2639</v>
      </c>
    </row>
    <row r="4" spans="1:16">
      <c r="A4" s="40" t="s">
        <v>4</v>
      </c>
      <c r="B4" s="46">
        <v>8689627.9525491204</v>
      </c>
      <c r="C4" s="41">
        <f>B4/10000</f>
        <v>868.96279525491207</v>
      </c>
      <c r="D4" s="40">
        <v>1498</v>
      </c>
      <c r="E4" s="40">
        <v>8379</v>
      </c>
      <c r="F4" s="40">
        <v>652</v>
      </c>
      <c r="G4" s="40">
        <v>2513</v>
      </c>
    </row>
    <row r="7" spans="1:16">
      <c r="G7" s="42"/>
    </row>
    <row r="9" spans="1:16">
      <c r="A9" s="42" t="s">
        <v>3</v>
      </c>
      <c r="B9" s="44" t="s">
        <v>59</v>
      </c>
      <c r="C9" s="44" t="s">
        <v>60</v>
      </c>
      <c r="D9" s="44" t="s">
        <v>61</v>
      </c>
      <c r="E9" s="44" t="s">
        <v>62</v>
      </c>
      <c r="F9" s="44" t="s">
        <v>12</v>
      </c>
      <c r="G9" s="44" t="s">
        <v>13</v>
      </c>
      <c r="J9" s="42" t="s">
        <v>3</v>
      </c>
      <c r="K9" s="44" t="s">
        <v>59</v>
      </c>
      <c r="L9" s="44" t="s">
        <v>60</v>
      </c>
      <c r="M9" s="44" t="s">
        <v>61</v>
      </c>
      <c r="N9" s="44" t="s">
        <v>62</v>
      </c>
      <c r="O9" s="44" t="s">
        <v>12</v>
      </c>
      <c r="P9" s="44" t="s">
        <v>13</v>
      </c>
    </row>
    <row r="10" spans="1:16">
      <c r="A10" s="40" t="s">
        <v>11</v>
      </c>
      <c r="B10" s="40">
        <f>$K$2</f>
        <v>144</v>
      </c>
      <c r="C10" s="40">
        <f>$K$2</f>
        <v>144</v>
      </c>
      <c r="D10" s="40">
        <f>$K$2</f>
        <v>144</v>
      </c>
      <c r="E10" s="40">
        <f>$K$2</f>
        <v>144</v>
      </c>
      <c r="F10" s="41">
        <f>G10-SUM(B10:E10)</f>
        <v>909.99853532673001</v>
      </c>
      <c r="G10" s="41">
        <f>$C$2</f>
        <v>1485.99853532673</v>
      </c>
      <c r="J10" s="40" t="s">
        <v>11</v>
      </c>
      <c r="K10" s="40">
        <f>$K$2</f>
        <v>144</v>
      </c>
      <c r="L10" s="40">
        <f>$K$2</f>
        <v>144</v>
      </c>
      <c r="M10" s="40">
        <f>$K$2</f>
        <v>144</v>
      </c>
      <c r="N10" s="40">
        <f>$K$2</f>
        <v>144</v>
      </c>
      <c r="O10" s="41">
        <f>P10-SUM(K10:N10)</f>
        <v>909.99853532673001</v>
      </c>
      <c r="P10" s="41">
        <f>$C$2</f>
        <v>1485.99853532673</v>
      </c>
    </row>
    <row r="11" spans="1:16">
      <c r="A11" s="40" t="s">
        <v>14</v>
      </c>
      <c r="B11" s="41">
        <f>$G11*B$10/$G10</f>
        <v>301.37310996846463</v>
      </c>
      <c r="C11" s="41">
        <f>$G11*C$10/$G10</f>
        <v>301.37310996846463</v>
      </c>
      <c r="D11" s="41">
        <f>$G11*D$10/$G10</f>
        <v>301.37310996846463</v>
      </c>
      <c r="E11" s="41">
        <f>$G11*E$10/$G10</f>
        <v>301.37310996846463</v>
      </c>
      <c r="F11" s="41">
        <f>$G11*F$10/$G10</f>
        <v>1904.5075601261412</v>
      </c>
      <c r="G11" s="40">
        <f>$D$2</f>
        <v>3110</v>
      </c>
      <c r="J11" s="40" t="s">
        <v>16</v>
      </c>
      <c r="K11" s="41">
        <f>$P11*K$10/$P10</f>
        <v>122.00281204189614</v>
      </c>
      <c r="L11" s="41">
        <f>$P11*L$10/$P10</f>
        <v>122.00281204189614</v>
      </c>
      <c r="M11" s="41">
        <f>$P11*M$10/$P10</f>
        <v>122.00281204189614</v>
      </c>
      <c r="N11" s="41">
        <f>$P11*N$10/$P10</f>
        <v>122.00281204189614</v>
      </c>
      <c r="O11" s="41">
        <f>$P11*O$10/$P10</f>
        <v>770.98875183241535</v>
      </c>
      <c r="P11" s="40">
        <f>$F$2</f>
        <v>1259</v>
      </c>
    </row>
    <row r="12" spans="1:16">
      <c r="A12" s="40" t="s">
        <v>52</v>
      </c>
      <c r="B12" s="45">
        <f t="shared" ref="B12:F12" si="0">B11/B10</f>
        <v>2.092868819225449</v>
      </c>
      <c r="C12" s="45">
        <f t="shared" si="0"/>
        <v>2.092868819225449</v>
      </c>
      <c r="D12" s="45">
        <f t="shared" si="0"/>
        <v>2.092868819225449</v>
      </c>
      <c r="E12" s="45">
        <f t="shared" si="0"/>
        <v>2.092868819225449</v>
      </c>
      <c r="F12" s="45">
        <f t="shared" si="0"/>
        <v>2.0928688192254485</v>
      </c>
      <c r="G12" s="45">
        <f>G11/G10</f>
        <v>2.092868819225449</v>
      </c>
      <c r="J12" s="40" t="s">
        <v>57</v>
      </c>
      <c r="K12" s="45">
        <f t="shared" ref="K12" si="1">K11/K10</f>
        <v>0.84724175029094539</v>
      </c>
      <c r="L12" s="45">
        <f t="shared" ref="L12" si="2">L11/L10</f>
        <v>0.84724175029094539</v>
      </c>
      <c r="M12" s="45">
        <f t="shared" ref="M12" si="3">M11/M10</f>
        <v>0.84724175029094539</v>
      </c>
      <c r="N12" s="45">
        <f t="shared" ref="N12" si="4">N11/N10</f>
        <v>0.84724175029094539</v>
      </c>
      <c r="O12" s="45">
        <f t="shared" ref="O12" si="5">O11/O10</f>
        <v>0.84724175029094528</v>
      </c>
      <c r="P12" s="45">
        <f>P11/P10</f>
        <v>0.84724175029094539</v>
      </c>
    </row>
    <row r="13" spans="1:16">
      <c r="A13" s="44" t="s">
        <v>50</v>
      </c>
      <c r="B13" s="44"/>
      <c r="C13" s="44"/>
      <c r="D13" s="44"/>
      <c r="E13" s="44"/>
      <c r="F13" s="44"/>
      <c r="G13" s="44"/>
      <c r="J13" s="44" t="s">
        <v>51</v>
      </c>
      <c r="K13" s="44"/>
      <c r="L13" s="44"/>
      <c r="M13" s="44"/>
      <c r="N13" s="44"/>
      <c r="O13" s="44"/>
      <c r="P13" s="44"/>
    </row>
    <row r="14" spans="1:16">
      <c r="A14" s="40" t="s">
        <v>21</v>
      </c>
      <c r="B14" s="41">
        <f>$G14*B10/$G$10</f>
        <v>6691.1613730586869</v>
      </c>
      <c r="C14" s="41">
        <f>$G14*C10/$G$10</f>
        <v>6691.1613730586869</v>
      </c>
      <c r="D14" s="41">
        <f>$G14*D10/$G$10</f>
        <v>6691.1613730586869</v>
      </c>
      <c r="E14" s="41">
        <f>$G14*E10/$G$10</f>
        <v>6691.1613730586869</v>
      </c>
      <c r="F14" s="41">
        <f>$G14*F10/$G$10</f>
        <v>42284.354507765252</v>
      </c>
      <c r="G14" s="40">
        <f>$E$2</f>
        <v>69049</v>
      </c>
      <c r="J14" s="40" t="s">
        <v>21</v>
      </c>
      <c r="K14" s="41">
        <f>$P14*K10/$P$10</f>
        <v>1761.9182911403936</v>
      </c>
      <c r="L14" s="41">
        <f>$P14*L10/$P$10</f>
        <v>1761.9182911403936</v>
      </c>
      <c r="M14" s="41">
        <f>$P14*M10/$P$10</f>
        <v>1761.9182911403936</v>
      </c>
      <c r="N14" s="41">
        <f>$P14*N10/$P$10</f>
        <v>1761.9182911403936</v>
      </c>
      <c r="O14" s="41">
        <f>$P14*O10/$P$10</f>
        <v>11134.326835438425</v>
      </c>
      <c r="P14" s="40">
        <f>$G$2</f>
        <v>18182</v>
      </c>
    </row>
    <row r="15" spans="1:16">
      <c r="A15" s="40" t="s">
        <v>22</v>
      </c>
      <c r="B15" s="41">
        <f>G15-SUM(C15:F15)</f>
        <v>66240.373109968466</v>
      </c>
      <c r="C15" s="41">
        <f>C11</f>
        <v>301.37310996846463</v>
      </c>
      <c r="D15" s="41">
        <f t="shared" ref="D15:F15" si="6">D11</f>
        <v>301.37310996846463</v>
      </c>
      <c r="E15" s="41">
        <f t="shared" si="6"/>
        <v>301.37310996846463</v>
      </c>
      <c r="F15" s="41">
        <f t="shared" si="6"/>
        <v>1904.5075601261412</v>
      </c>
      <c r="G15" s="40">
        <f>$E$2</f>
        <v>69049</v>
      </c>
      <c r="J15" s="40" t="s">
        <v>22</v>
      </c>
      <c r="K15" s="41">
        <f>P15-SUM(L15:O15)</f>
        <v>17045.002812041897</v>
      </c>
      <c r="L15" s="41">
        <f>L11</f>
        <v>122.00281204189614</v>
      </c>
      <c r="M15" s="41">
        <f t="shared" ref="M15:O15" si="7">M11</f>
        <v>122.00281204189614</v>
      </c>
      <c r="N15" s="41">
        <f t="shared" si="7"/>
        <v>122.00281204189614</v>
      </c>
      <c r="O15" s="41">
        <f t="shared" si="7"/>
        <v>770.98875183241535</v>
      </c>
      <c r="P15" s="40">
        <f>$G$2</f>
        <v>18182</v>
      </c>
    </row>
    <row r="16" spans="1:16">
      <c r="A16" s="40" t="s">
        <v>53</v>
      </c>
      <c r="B16" s="41">
        <f>(G16-SUM(D16:F16))/2</f>
        <v>33270.873109968466</v>
      </c>
      <c r="C16" s="41">
        <f>B16</f>
        <v>33270.873109968466</v>
      </c>
      <c r="D16" s="41">
        <f>D11</f>
        <v>301.37310996846463</v>
      </c>
      <c r="E16" s="41">
        <f t="shared" ref="E16:F16" si="8">E11</f>
        <v>301.37310996846463</v>
      </c>
      <c r="F16" s="41">
        <f t="shared" si="8"/>
        <v>1904.5075601261412</v>
      </c>
      <c r="G16" s="40">
        <f>$E$2</f>
        <v>69049</v>
      </c>
      <c r="J16" s="40" t="s">
        <v>53</v>
      </c>
      <c r="K16" s="41">
        <f>(P16-SUM(M16:O16))/2</f>
        <v>8583.5028120418956</v>
      </c>
      <c r="L16" s="41">
        <f>K16</f>
        <v>8583.5028120418956</v>
      </c>
      <c r="M16" s="41">
        <f>M11</f>
        <v>122.00281204189614</v>
      </c>
      <c r="N16" s="41">
        <f t="shared" ref="N16:O16" si="9">N11</f>
        <v>122.00281204189614</v>
      </c>
      <c r="O16" s="41">
        <f t="shared" si="9"/>
        <v>770.98875183241535</v>
      </c>
      <c r="P16" s="40">
        <f>$G$2</f>
        <v>18182</v>
      </c>
    </row>
    <row r="17" spans="1:16">
      <c r="A17" s="40" t="s">
        <v>54</v>
      </c>
      <c r="B17" s="41">
        <f>(G17-SUM(E17:F17))/3</f>
        <v>22281.039776635134</v>
      </c>
      <c r="C17" s="41">
        <f>B17</f>
        <v>22281.039776635134</v>
      </c>
      <c r="D17" s="41">
        <f>B17</f>
        <v>22281.039776635134</v>
      </c>
      <c r="E17" s="41">
        <f>E11</f>
        <v>301.37310996846463</v>
      </c>
      <c r="F17" s="41">
        <f>F11</f>
        <v>1904.5075601261412</v>
      </c>
      <c r="G17" s="40">
        <f>$E$2</f>
        <v>69049</v>
      </c>
      <c r="J17" s="40" t="s">
        <v>54</v>
      </c>
      <c r="K17" s="41">
        <f>(P17-SUM(N17:O17))/3</f>
        <v>5763.0028120418965</v>
      </c>
      <c r="L17" s="41">
        <f>K17</f>
        <v>5763.0028120418965</v>
      </c>
      <c r="M17" s="41">
        <f>K17</f>
        <v>5763.0028120418965</v>
      </c>
      <c r="N17" s="41">
        <f>N11</f>
        <v>122.00281204189614</v>
      </c>
      <c r="O17" s="41">
        <f>O11</f>
        <v>770.98875183241535</v>
      </c>
      <c r="P17" s="40">
        <f>$G$2</f>
        <v>18182</v>
      </c>
    </row>
    <row r="18" spans="1:16">
      <c r="A18" s="40" t="s">
        <v>55</v>
      </c>
      <c r="B18" s="41">
        <f>(G18-F18)/4</f>
        <v>16786.123109968466</v>
      </c>
      <c r="C18" s="41">
        <f>B18</f>
        <v>16786.123109968466</v>
      </c>
      <c r="D18" s="41">
        <f>B18</f>
        <v>16786.123109968466</v>
      </c>
      <c r="E18" s="41">
        <f>B18</f>
        <v>16786.123109968466</v>
      </c>
      <c r="F18" s="41">
        <f>F11</f>
        <v>1904.5075601261412</v>
      </c>
      <c r="G18" s="40">
        <f>$E$2</f>
        <v>69049</v>
      </c>
      <c r="J18" s="40" t="s">
        <v>55</v>
      </c>
      <c r="K18" s="41">
        <f>(P18-O18)/4</f>
        <v>4352.7528120418965</v>
      </c>
      <c r="L18" s="41">
        <f>K18</f>
        <v>4352.7528120418965</v>
      </c>
      <c r="M18" s="41">
        <f>K18</f>
        <v>4352.7528120418965</v>
      </c>
      <c r="N18" s="41">
        <f>K18</f>
        <v>4352.7528120418965</v>
      </c>
      <c r="O18" s="41">
        <f>O11</f>
        <v>770.98875183241535</v>
      </c>
      <c r="P18" s="40">
        <f>$G$2</f>
        <v>18182</v>
      </c>
    </row>
    <row r="19" spans="1:16">
      <c r="A19" s="44" t="s">
        <v>56</v>
      </c>
      <c r="B19" s="44"/>
      <c r="C19" s="44"/>
      <c r="D19" s="44"/>
      <c r="E19" s="44"/>
      <c r="F19" s="44"/>
      <c r="G19" s="44"/>
      <c r="J19" s="44" t="s">
        <v>58</v>
      </c>
      <c r="K19" s="44"/>
      <c r="L19" s="44"/>
      <c r="M19" s="44"/>
      <c r="N19" s="44"/>
      <c r="O19" s="44"/>
      <c r="P19" s="44"/>
    </row>
    <row r="20" spans="1:16">
      <c r="A20" s="40" t="s">
        <v>21</v>
      </c>
      <c r="B20" s="45">
        <f>B14/B$10</f>
        <v>46.466398424018656</v>
      </c>
      <c r="C20" s="45">
        <f t="shared" ref="C20:F20" si="10">C14/C$10</f>
        <v>46.466398424018656</v>
      </c>
      <c r="D20" s="45">
        <f t="shared" si="10"/>
        <v>46.466398424018656</v>
      </c>
      <c r="E20" s="45">
        <f t="shared" si="10"/>
        <v>46.466398424018656</v>
      </c>
      <c r="F20" s="45">
        <f t="shared" si="10"/>
        <v>46.466398424018656</v>
      </c>
      <c r="G20" s="45">
        <f>G14/G$10</f>
        <v>46.466398424018656</v>
      </c>
      <c r="J20" s="40" t="s">
        <v>21</v>
      </c>
      <c r="K20" s="45">
        <f>K14/K$10</f>
        <v>12.235543688474955</v>
      </c>
      <c r="L20" s="45">
        <f t="shared" ref="L20:O20" si="11">L14/L$10</f>
        <v>12.235543688474955</v>
      </c>
      <c r="M20" s="45">
        <f t="shared" si="11"/>
        <v>12.235543688474955</v>
      </c>
      <c r="N20" s="45">
        <f t="shared" si="11"/>
        <v>12.235543688474955</v>
      </c>
      <c r="O20" s="45">
        <f t="shared" si="11"/>
        <v>12.235543688474955</v>
      </c>
      <c r="P20" s="45">
        <f>P14/P$10</f>
        <v>12.235543688474955</v>
      </c>
    </row>
    <row r="21" spans="1:16">
      <c r="A21" s="40" t="s">
        <v>22</v>
      </c>
      <c r="B21" s="45">
        <f t="shared" ref="B21:F24" si="12">B15/B$10</f>
        <v>460.00259104144766</v>
      </c>
      <c r="C21" s="45">
        <f t="shared" si="12"/>
        <v>2.092868819225449</v>
      </c>
      <c r="D21" s="45">
        <f t="shared" si="12"/>
        <v>2.092868819225449</v>
      </c>
      <c r="E21" s="45">
        <f t="shared" si="12"/>
        <v>2.092868819225449</v>
      </c>
      <c r="F21" s="45">
        <f t="shared" si="12"/>
        <v>2.0928688192254485</v>
      </c>
      <c r="G21" s="45">
        <f>G15/G$10</f>
        <v>46.466398424018656</v>
      </c>
      <c r="J21" s="40" t="s">
        <v>22</v>
      </c>
      <c r="K21" s="45">
        <f t="shared" ref="K21:O21" si="13">K15/K$10</f>
        <v>118.36807508362429</v>
      </c>
      <c r="L21" s="45">
        <f t="shared" si="13"/>
        <v>0.84724175029094539</v>
      </c>
      <c r="M21" s="45">
        <f t="shared" si="13"/>
        <v>0.84724175029094539</v>
      </c>
      <c r="N21" s="45">
        <f t="shared" si="13"/>
        <v>0.84724175029094539</v>
      </c>
      <c r="O21" s="45">
        <f t="shared" si="13"/>
        <v>0.84724175029094528</v>
      </c>
      <c r="P21" s="45">
        <f>P15/P$10</f>
        <v>12.235543688474955</v>
      </c>
    </row>
    <row r="22" spans="1:16">
      <c r="A22" s="40" t="s">
        <v>53</v>
      </c>
      <c r="B22" s="45">
        <f t="shared" si="12"/>
        <v>231.04772993033657</v>
      </c>
      <c r="C22" s="45">
        <f t="shared" si="12"/>
        <v>231.04772993033657</v>
      </c>
      <c r="D22" s="45">
        <f t="shared" si="12"/>
        <v>2.092868819225449</v>
      </c>
      <c r="E22" s="45">
        <f t="shared" si="12"/>
        <v>2.092868819225449</v>
      </c>
      <c r="F22" s="45">
        <f t="shared" si="12"/>
        <v>2.0928688192254485</v>
      </c>
      <c r="G22" s="45">
        <f>G16/G$10</f>
        <v>46.466398424018656</v>
      </c>
      <c r="J22" s="40" t="s">
        <v>53</v>
      </c>
      <c r="K22" s="45">
        <f t="shared" ref="K22:O22" si="14">K16/K$10</f>
        <v>59.607658416957605</v>
      </c>
      <c r="L22" s="45">
        <f t="shared" si="14"/>
        <v>59.607658416957605</v>
      </c>
      <c r="M22" s="45">
        <f t="shared" si="14"/>
        <v>0.84724175029094539</v>
      </c>
      <c r="N22" s="45">
        <f t="shared" si="14"/>
        <v>0.84724175029094539</v>
      </c>
      <c r="O22" s="45">
        <f t="shared" si="14"/>
        <v>0.84724175029094528</v>
      </c>
      <c r="P22" s="45">
        <f>P16/P$10</f>
        <v>12.235543688474955</v>
      </c>
    </row>
    <row r="23" spans="1:16">
      <c r="A23" s="40" t="s">
        <v>54</v>
      </c>
      <c r="B23" s="45">
        <f t="shared" si="12"/>
        <v>154.72944289329953</v>
      </c>
      <c r="C23" s="45">
        <f t="shared" si="12"/>
        <v>154.72944289329953</v>
      </c>
      <c r="D23" s="45">
        <f t="shared" si="12"/>
        <v>154.72944289329953</v>
      </c>
      <c r="E23" s="45">
        <f t="shared" si="12"/>
        <v>2.092868819225449</v>
      </c>
      <c r="F23" s="45">
        <f t="shared" si="12"/>
        <v>2.0928688192254485</v>
      </c>
      <c r="G23" s="45">
        <f>G17/G$10</f>
        <v>46.466398424018656</v>
      </c>
      <c r="J23" s="40" t="s">
        <v>54</v>
      </c>
      <c r="K23" s="45">
        <f t="shared" ref="K23:O23" si="15">K17/K$10</f>
        <v>40.020852861402062</v>
      </c>
      <c r="L23" s="45">
        <f t="shared" si="15"/>
        <v>40.020852861402062</v>
      </c>
      <c r="M23" s="45">
        <f t="shared" si="15"/>
        <v>40.020852861402062</v>
      </c>
      <c r="N23" s="45">
        <f t="shared" si="15"/>
        <v>0.84724175029094539</v>
      </c>
      <c r="O23" s="45">
        <f t="shared" si="15"/>
        <v>0.84724175029094528</v>
      </c>
      <c r="P23" s="45">
        <f>P17/P$10</f>
        <v>12.235543688474955</v>
      </c>
    </row>
    <row r="24" spans="1:16">
      <c r="A24" s="40" t="s">
        <v>55</v>
      </c>
      <c r="B24" s="45">
        <f t="shared" si="12"/>
        <v>116.57029937478102</v>
      </c>
      <c r="C24" s="45">
        <f t="shared" si="12"/>
        <v>116.57029937478102</v>
      </c>
      <c r="D24" s="45">
        <f t="shared" si="12"/>
        <v>116.57029937478102</v>
      </c>
      <c r="E24" s="45">
        <f t="shared" si="12"/>
        <v>116.57029937478102</v>
      </c>
      <c r="F24" s="45">
        <f t="shared" si="12"/>
        <v>2.0928688192254485</v>
      </c>
      <c r="G24" s="45">
        <f>G18/G$10</f>
        <v>46.466398424018656</v>
      </c>
      <c r="J24" s="40" t="s">
        <v>55</v>
      </c>
      <c r="K24" s="45">
        <f t="shared" ref="K24:O24" si="16">K18/K$10</f>
        <v>30.22745008362428</v>
      </c>
      <c r="L24" s="45">
        <f t="shared" si="16"/>
        <v>30.22745008362428</v>
      </c>
      <c r="M24" s="45">
        <f t="shared" si="16"/>
        <v>30.22745008362428</v>
      </c>
      <c r="N24" s="45">
        <f t="shared" si="16"/>
        <v>30.22745008362428</v>
      </c>
      <c r="O24" s="45">
        <f t="shared" si="16"/>
        <v>0.84724175029094528</v>
      </c>
      <c r="P24" s="45">
        <f>P18/P$10</f>
        <v>12.235543688474955</v>
      </c>
    </row>
    <row r="28" spans="1:16">
      <c r="A28" s="42" t="s">
        <v>5</v>
      </c>
      <c r="B28" s="44" t="s">
        <v>63</v>
      </c>
      <c r="C28" s="44" t="s">
        <v>64</v>
      </c>
      <c r="D28" s="44" t="s">
        <v>65</v>
      </c>
      <c r="E28" s="44" t="s">
        <v>66</v>
      </c>
      <c r="F28" s="44" t="s">
        <v>12</v>
      </c>
      <c r="G28" s="44" t="s">
        <v>13</v>
      </c>
      <c r="J28" s="42" t="s">
        <v>5</v>
      </c>
      <c r="K28" s="44" t="s">
        <v>63</v>
      </c>
      <c r="L28" s="44" t="s">
        <v>64</v>
      </c>
      <c r="M28" s="44" t="s">
        <v>65</v>
      </c>
      <c r="N28" s="44" t="s">
        <v>66</v>
      </c>
      <c r="O28" s="44" t="s">
        <v>12</v>
      </c>
      <c r="P28" s="44" t="s">
        <v>13</v>
      </c>
    </row>
    <row r="29" spans="1:16">
      <c r="A29" s="40" t="s">
        <v>11</v>
      </c>
      <c r="B29" s="40">
        <f>$K$2</f>
        <v>144</v>
      </c>
      <c r="C29" s="40">
        <f>$K$2</f>
        <v>144</v>
      </c>
      <c r="D29" s="40">
        <f>$K$2</f>
        <v>144</v>
      </c>
      <c r="E29" s="40">
        <f>$K$2</f>
        <v>144</v>
      </c>
      <c r="F29" s="41">
        <f>G29-SUM(B29:E29)</f>
        <v>410.39587723708303</v>
      </c>
      <c r="G29" s="41">
        <f>$C$3</f>
        <v>986.39587723708303</v>
      </c>
      <c r="J29" s="40" t="s">
        <v>11</v>
      </c>
      <c r="K29" s="40">
        <f>$K$2</f>
        <v>144</v>
      </c>
      <c r="L29" s="40">
        <f>$K$2</f>
        <v>144</v>
      </c>
      <c r="M29" s="40">
        <f>$K$2</f>
        <v>144</v>
      </c>
      <c r="N29" s="40">
        <f>$K$2</f>
        <v>144</v>
      </c>
      <c r="O29" s="41">
        <f>P29-SUM(K29:N29)</f>
        <v>410.39587723708303</v>
      </c>
      <c r="P29" s="41">
        <f>$C$3</f>
        <v>986.39587723708303</v>
      </c>
    </row>
    <row r="30" spans="1:16">
      <c r="A30" s="40" t="s">
        <v>14</v>
      </c>
      <c r="B30" s="41">
        <f>$G30*B$29/$G29</f>
        <v>253.86967421378608</v>
      </c>
      <c r="C30" s="41">
        <f>$G30*C$29/$G29</f>
        <v>253.86967421378608</v>
      </c>
      <c r="D30" s="41">
        <f>$G30*D$29/$G29</f>
        <v>253.86967421378608</v>
      </c>
      <c r="E30" s="41">
        <f>$G30*E$29/$G29</f>
        <v>253.86967421378608</v>
      </c>
      <c r="F30" s="41">
        <f>$G30*F$29/$G29</f>
        <v>723.52130314485566</v>
      </c>
      <c r="G30" s="40">
        <f>$D$3</f>
        <v>1739</v>
      </c>
      <c r="J30" s="40" t="s">
        <v>16</v>
      </c>
      <c r="K30" s="41">
        <f>$P30*K$29/$P29</f>
        <v>85.693788823169882</v>
      </c>
      <c r="L30" s="41">
        <f>$P30*L$29/$P29</f>
        <v>85.693788823169882</v>
      </c>
      <c r="M30" s="41">
        <f>$P30*M$29/$P29</f>
        <v>85.693788823169882</v>
      </c>
      <c r="N30" s="41">
        <f>$P30*N$29/$P29</f>
        <v>85.693788823169882</v>
      </c>
      <c r="O30" s="41">
        <f>$P30*O$29/$P29</f>
        <v>244.22484470732044</v>
      </c>
      <c r="P30" s="40">
        <f>$F$3</f>
        <v>587</v>
      </c>
    </row>
    <row r="31" spans="1:16">
      <c r="A31" s="40" t="s">
        <v>52</v>
      </c>
      <c r="B31" s="45">
        <f t="shared" ref="B31" si="17">B30/B29</f>
        <v>1.7629838487068479</v>
      </c>
      <c r="C31" s="45">
        <f t="shared" ref="C31" si="18">C30/C29</f>
        <v>1.7629838487068479</v>
      </c>
      <c r="D31" s="45">
        <f t="shared" ref="D31" si="19">D30/D29</f>
        <v>1.7629838487068479</v>
      </c>
      <c r="E31" s="45">
        <f t="shared" ref="E31" si="20">E30/E29</f>
        <v>1.7629838487068479</v>
      </c>
      <c r="F31" s="45">
        <f t="shared" ref="F31" si="21">F30/F29</f>
        <v>1.7629838487068479</v>
      </c>
      <c r="G31" s="45">
        <f>G30/G29</f>
        <v>1.7629838487068479</v>
      </c>
      <c r="J31" s="40" t="s">
        <v>57</v>
      </c>
      <c r="K31" s="45">
        <f t="shared" ref="K31" si="22">K30/K29</f>
        <v>0.59509575571645756</v>
      </c>
      <c r="L31" s="45">
        <f t="shared" ref="L31" si="23">L30/L29</f>
        <v>0.59509575571645756</v>
      </c>
      <c r="M31" s="45">
        <f t="shared" ref="M31" si="24">M30/M29</f>
        <v>0.59509575571645756</v>
      </c>
      <c r="N31" s="45">
        <f t="shared" ref="N31" si="25">N30/N29</f>
        <v>0.59509575571645756</v>
      </c>
      <c r="O31" s="45">
        <f t="shared" ref="O31" si="26">O30/O29</f>
        <v>0.59509575571645745</v>
      </c>
      <c r="P31" s="45">
        <f>P30/P29</f>
        <v>0.59509575571645756</v>
      </c>
    </row>
    <row r="32" spans="1:16">
      <c r="A32" s="44" t="s">
        <v>50</v>
      </c>
      <c r="B32" s="44"/>
      <c r="C32" s="44"/>
      <c r="D32" s="44"/>
      <c r="E32" s="44"/>
      <c r="F32" s="44"/>
      <c r="G32" s="44"/>
      <c r="J32" s="44" t="s">
        <v>51</v>
      </c>
      <c r="K32" s="44"/>
      <c r="L32" s="44"/>
      <c r="M32" s="44"/>
      <c r="N32" s="44"/>
      <c r="O32" s="44"/>
      <c r="P32" s="44"/>
    </row>
    <row r="33" spans="1:16">
      <c r="A33" s="40" t="s">
        <v>21</v>
      </c>
      <c r="B33" s="41">
        <f>$G33*B29/$G$29</f>
        <v>2035.6289460822502</v>
      </c>
      <c r="C33" s="41">
        <f>$G33*C29/$G$29</f>
        <v>2035.6289460822502</v>
      </c>
      <c r="D33" s="41">
        <f>$G33*D29/$G$29</f>
        <v>2035.6289460822502</v>
      </c>
      <c r="E33" s="41">
        <f>$G33*E29/$G$29</f>
        <v>2035.6289460822502</v>
      </c>
      <c r="F33" s="41">
        <f>$G33*F29/$G$29</f>
        <v>5801.4842156709992</v>
      </c>
      <c r="G33" s="40">
        <f>$E$3</f>
        <v>13944</v>
      </c>
      <c r="J33" s="40" t="s">
        <v>21</v>
      </c>
      <c r="K33" s="41">
        <f>$P33*K29/$P$29</f>
        <v>385.25708467520496</v>
      </c>
      <c r="L33" s="41">
        <f>$P33*L29/$P$29</f>
        <v>385.25708467520496</v>
      </c>
      <c r="M33" s="41">
        <f>$P33*M29/$P$29</f>
        <v>385.25708467520496</v>
      </c>
      <c r="N33" s="41">
        <f>$P33*N29/$P$29</f>
        <v>385.25708467520496</v>
      </c>
      <c r="O33" s="41">
        <f>$P33*O29/$P$29</f>
        <v>1097.9716612991801</v>
      </c>
      <c r="P33" s="40">
        <f>$G$3</f>
        <v>2639</v>
      </c>
    </row>
    <row r="34" spans="1:16">
      <c r="A34" s="40" t="s">
        <v>22</v>
      </c>
      <c r="B34" s="41">
        <f>G34-SUM(C34:F34)</f>
        <v>12458.869674213785</v>
      </c>
      <c r="C34" s="41">
        <f>C30</f>
        <v>253.86967421378608</v>
      </c>
      <c r="D34" s="41">
        <f t="shared" ref="D34:F34" si="27">D30</f>
        <v>253.86967421378608</v>
      </c>
      <c r="E34" s="41">
        <f t="shared" si="27"/>
        <v>253.86967421378608</v>
      </c>
      <c r="F34" s="41">
        <f t="shared" si="27"/>
        <v>723.52130314485566</v>
      </c>
      <c r="G34" s="40">
        <f>$E$3</f>
        <v>13944</v>
      </c>
      <c r="J34" s="40" t="s">
        <v>22</v>
      </c>
      <c r="K34" s="41">
        <f>P34-SUM(L34:O34)</f>
        <v>2137.6937888231701</v>
      </c>
      <c r="L34" s="41">
        <f>L30</f>
        <v>85.693788823169882</v>
      </c>
      <c r="M34" s="41">
        <f t="shared" ref="M34:O34" si="28">M30</f>
        <v>85.693788823169882</v>
      </c>
      <c r="N34" s="41">
        <f t="shared" si="28"/>
        <v>85.693788823169882</v>
      </c>
      <c r="O34" s="41">
        <f t="shared" si="28"/>
        <v>244.22484470732044</v>
      </c>
      <c r="P34" s="40">
        <f>$G$3</f>
        <v>2639</v>
      </c>
    </row>
    <row r="35" spans="1:16">
      <c r="A35" s="40" t="s">
        <v>53</v>
      </c>
      <c r="B35" s="41">
        <f>(G35-SUM(D35:F35))/2</f>
        <v>6356.3696742137863</v>
      </c>
      <c r="C35" s="41">
        <f>B35</f>
        <v>6356.3696742137863</v>
      </c>
      <c r="D35" s="41">
        <f>D30</f>
        <v>253.86967421378608</v>
      </c>
      <c r="E35" s="41">
        <f t="shared" ref="E35:F35" si="29">E30</f>
        <v>253.86967421378608</v>
      </c>
      <c r="F35" s="41">
        <f t="shared" si="29"/>
        <v>723.52130314485566</v>
      </c>
      <c r="G35" s="40">
        <f>$E$3</f>
        <v>13944</v>
      </c>
      <c r="J35" s="40" t="s">
        <v>53</v>
      </c>
      <c r="K35" s="41">
        <f>(P35-SUM(M35:O35))/2</f>
        <v>1111.6937888231698</v>
      </c>
      <c r="L35" s="41">
        <f>K35</f>
        <v>1111.6937888231698</v>
      </c>
      <c r="M35" s="41">
        <f>M30</f>
        <v>85.693788823169882</v>
      </c>
      <c r="N35" s="41">
        <f t="shared" ref="N35:O35" si="30">N30</f>
        <v>85.693788823169882</v>
      </c>
      <c r="O35" s="41">
        <f t="shared" si="30"/>
        <v>244.22484470732044</v>
      </c>
      <c r="P35" s="40">
        <f>$G$3</f>
        <v>2639</v>
      </c>
    </row>
    <row r="36" spans="1:16">
      <c r="A36" s="40" t="s">
        <v>54</v>
      </c>
      <c r="B36" s="41">
        <f>(G36-SUM(E36:F36))/3</f>
        <v>4322.2030075471193</v>
      </c>
      <c r="C36" s="41">
        <f>B36</f>
        <v>4322.2030075471193</v>
      </c>
      <c r="D36" s="41">
        <f>B36</f>
        <v>4322.2030075471193</v>
      </c>
      <c r="E36" s="41">
        <f>E30</f>
        <v>253.86967421378608</v>
      </c>
      <c r="F36" s="41">
        <f>F30</f>
        <v>723.52130314485566</v>
      </c>
      <c r="G36" s="40">
        <f>$E$3</f>
        <v>13944</v>
      </c>
      <c r="J36" s="40" t="s">
        <v>54</v>
      </c>
      <c r="K36" s="41">
        <f>(P36-SUM(N36:O36))/3</f>
        <v>769.69378882316994</v>
      </c>
      <c r="L36" s="41">
        <f>K36</f>
        <v>769.69378882316994</v>
      </c>
      <c r="M36" s="41">
        <f>K36</f>
        <v>769.69378882316994</v>
      </c>
      <c r="N36" s="41">
        <f>N30</f>
        <v>85.693788823169882</v>
      </c>
      <c r="O36" s="41">
        <f>O30</f>
        <v>244.22484470732044</v>
      </c>
      <c r="P36" s="40">
        <f>$G$3</f>
        <v>2639</v>
      </c>
    </row>
    <row r="37" spans="1:16">
      <c r="A37" s="40" t="s">
        <v>55</v>
      </c>
      <c r="B37" s="41">
        <f>(G37-F37)/4</f>
        <v>3305.1196742137863</v>
      </c>
      <c r="C37" s="41">
        <f>B37</f>
        <v>3305.1196742137863</v>
      </c>
      <c r="D37" s="41">
        <f>B37</f>
        <v>3305.1196742137863</v>
      </c>
      <c r="E37" s="41">
        <f>B37</f>
        <v>3305.1196742137863</v>
      </c>
      <c r="F37" s="41">
        <f>F30</f>
        <v>723.52130314485566</v>
      </c>
      <c r="G37" s="40">
        <f>$E$3</f>
        <v>13944</v>
      </c>
      <c r="J37" s="40" t="s">
        <v>55</v>
      </c>
      <c r="K37" s="41">
        <f>(P37-O37)/4</f>
        <v>598.69378882316994</v>
      </c>
      <c r="L37" s="41">
        <f>K37</f>
        <v>598.69378882316994</v>
      </c>
      <c r="M37" s="41">
        <f>K37</f>
        <v>598.69378882316994</v>
      </c>
      <c r="N37" s="41">
        <f>K37</f>
        <v>598.69378882316994</v>
      </c>
      <c r="O37" s="41">
        <f>O30</f>
        <v>244.22484470732044</v>
      </c>
      <c r="P37" s="40">
        <f>$G$3</f>
        <v>2639</v>
      </c>
    </row>
    <row r="38" spans="1:16">
      <c r="A38" s="44" t="s">
        <v>56</v>
      </c>
      <c r="B38" s="44"/>
      <c r="C38" s="44"/>
      <c r="D38" s="44"/>
      <c r="E38" s="44"/>
      <c r="F38" s="44"/>
      <c r="G38" s="44"/>
      <c r="J38" s="44" t="s">
        <v>58</v>
      </c>
      <c r="K38" s="44"/>
      <c r="L38" s="44"/>
      <c r="M38" s="44"/>
      <c r="N38" s="44"/>
      <c r="O38" s="44"/>
      <c r="P38" s="44"/>
    </row>
    <row r="39" spans="1:16">
      <c r="A39" s="40" t="s">
        <v>21</v>
      </c>
      <c r="B39" s="45">
        <f t="shared" ref="B39:F39" si="31">B33/B$29</f>
        <v>14.136312125571182</v>
      </c>
      <c r="C39" s="45">
        <f t="shared" si="31"/>
        <v>14.136312125571182</v>
      </c>
      <c r="D39" s="45">
        <f t="shared" si="31"/>
        <v>14.136312125571182</v>
      </c>
      <c r="E39" s="45">
        <f t="shared" si="31"/>
        <v>14.136312125571182</v>
      </c>
      <c r="F39" s="45">
        <f t="shared" si="31"/>
        <v>14.136312125571182</v>
      </c>
      <c r="G39" s="45">
        <f>G33/G$29</f>
        <v>14.136312125571182</v>
      </c>
      <c r="J39" s="40" t="s">
        <v>21</v>
      </c>
      <c r="K39" s="45">
        <f t="shared" ref="K39:O39" si="32">K33/K$29</f>
        <v>2.6753964213555901</v>
      </c>
      <c r="L39" s="45">
        <f t="shared" si="32"/>
        <v>2.6753964213555901</v>
      </c>
      <c r="M39" s="45">
        <f t="shared" si="32"/>
        <v>2.6753964213555901</v>
      </c>
      <c r="N39" s="45">
        <f t="shared" si="32"/>
        <v>2.6753964213555901</v>
      </c>
      <c r="O39" s="45">
        <f t="shared" si="32"/>
        <v>2.6753964213555905</v>
      </c>
      <c r="P39" s="45">
        <f>P33/P$29</f>
        <v>2.6753964213555901</v>
      </c>
    </row>
    <row r="40" spans="1:16">
      <c r="A40" s="40" t="s">
        <v>22</v>
      </c>
      <c r="B40" s="45">
        <f t="shared" ref="B40:F40" si="33">B34/B$29</f>
        <v>86.519928293151281</v>
      </c>
      <c r="C40" s="45">
        <f>C34/C$29</f>
        <v>1.7629838487068479</v>
      </c>
      <c r="D40" s="45">
        <f t="shared" si="33"/>
        <v>1.7629838487068479</v>
      </c>
      <c r="E40" s="45">
        <f t="shared" si="33"/>
        <v>1.7629838487068479</v>
      </c>
      <c r="F40" s="45">
        <f t="shared" si="33"/>
        <v>1.7629838487068479</v>
      </c>
      <c r="G40" s="45">
        <f>G34/G$29</f>
        <v>14.136312125571182</v>
      </c>
      <c r="J40" s="40" t="s">
        <v>22</v>
      </c>
      <c r="K40" s="45">
        <f t="shared" ref="K40:O40" si="34">K34/K$29</f>
        <v>14.845095755716459</v>
      </c>
      <c r="L40" s="45">
        <f t="shared" si="34"/>
        <v>0.59509575571645756</v>
      </c>
      <c r="M40" s="45">
        <f t="shared" si="34"/>
        <v>0.59509575571645756</v>
      </c>
      <c r="N40" s="45">
        <f t="shared" si="34"/>
        <v>0.59509575571645756</v>
      </c>
      <c r="O40" s="45">
        <f t="shared" si="34"/>
        <v>0.59509575571645745</v>
      </c>
      <c r="P40" s="45">
        <f>P34/P$29</f>
        <v>2.6753964213555901</v>
      </c>
    </row>
    <row r="41" spans="1:16">
      <c r="A41" s="40" t="s">
        <v>53</v>
      </c>
      <c r="B41" s="45">
        <f t="shared" ref="B41:F43" si="35">B35/B$29</f>
        <v>44.141456070929074</v>
      </c>
      <c r="C41" s="45">
        <f t="shared" si="35"/>
        <v>44.141456070929074</v>
      </c>
      <c r="D41" s="45">
        <f t="shared" si="35"/>
        <v>1.7629838487068479</v>
      </c>
      <c r="E41" s="45">
        <f t="shared" si="35"/>
        <v>1.7629838487068479</v>
      </c>
      <c r="F41" s="45">
        <f t="shared" si="35"/>
        <v>1.7629838487068479</v>
      </c>
      <c r="G41" s="45">
        <f>G35/G$29</f>
        <v>14.136312125571182</v>
      </c>
      <c r="J41" s="40" t="s">
        <v>53</v>
      </c>
      <c r="K41" s="45">
        <f t="shared" ref="K41:O41" si="36">K35/K$29</f>
        <v>7.7200957557164571</v>
      </c>
      <c r="L41" s="45">
        <f t="shared" si="36"/>
        <v>7.7200957557164571</v>
      </c>
      <c r="M41" s="45">
        <f t="shared" si="36"/>
        <v>0.59509575571645756</v>
      </c>
      <c r="N41" s="45">
        <f t="shared" si="36"/>
        <v>0.59509575571645756</v>
      </c>
      <c r="O41" s="45">
        <f t="shared" si="36"/>
        <v>0.59509575571645745</v>
      </c>
      <c r="P41" s="45">
        <f>P35/P$29</f>
        <v>2.6753964213555901</v>
      </c>
    </row>
    <row r="42" spans="1:16">
      <c r="A42" s="40" t="s">
        <v>54</v>
      </c>
      <c r="B42" s="45">
        <f t="shared" si="35"/>
        <v>30.015298663521662</v>
      </c>
      <c r="C42" s="45">
        <f t="shared" si="35"/>
        <v>30.015298663521662</v>
      </c>
      <c r="D42" s="45">
        <f t="shared" si="35"/>
        <v>30.015298663521662</v>
      </c>
      <c r="E42" s="45">
        <f t="shared" si="35"/>
        <v>1.7629838487068479</v>
      </c>
      <c r="F42" s="45">
        <f t="shared" si="35"/>
        <v>1.7629838487068479</v>
      </c>
      <c r="G42" s="45">
        <f>G36/G$29</f>
        <v>14.136312125571182</v>
      </c>
      <c r="J42" s="40" t="s">
        <v>54</v>
      </c>
      <c r="K42" s="45">
        <f t="shared" ref="K42:O42" si="37">K36/K$29</f>
        <v>5.345095755716458</v>
      </c>
      <c r="L42" s="45">
        <f t="shared" si="37"/>
        <v>5.345095755716458</v>
      </c>
      <c r="M42" s="45">
        <f t="shared" si="37"/>
        <v>5.345095755716458</v>
      </c>
      <c r="N42" s="45">
        <f t="shared" si="37"/>
        <v>0.59509575571645756</v>
      </c>
      <c r="O42" s="45">
        <f t="shared" si="37"/>
        <v>0.59509575571645745</v>
      </c>
      <c r="P42" s="45">
        <f>P36/P$29</f>
        <v>2.6753964213555901</v>
      </c>
    </row>
    <row r="43" spans="1:16">
      <c r="A43" s="40" t="s">
        <v>55</v>
      </c>
      <c r="B43" s="45">
        <f t="shared" si="35"/>
        <v>22.95221995981796</v>
      </c>
      <c r="C43" s="45">
        <f t="shared" si="35"/>
        <v>22.95221995981796</v>
      </c>
      <c r="D43" s="45">
        <f t="shared" si="35"/>
        <v>22.95221995981796</v>
      </c>
      <c r="E43" s="45">
        <f t="shared" si="35"/>
        <v>22.95221995981796</v>
      </c>
      <c r="F43" s="45">
        <f t="shared" si="35"/>
        <v>1.7629838487068479</v>
      </c>
      <c r="G43" s="45">
        <f>G37/G$29</f>
        <v>14.136312125571182</v>
      </c>
      <c r="J43" s="40" t="s">
        <v>55</v>
      </c>
      <c r="K43" s="45">
        <f t="shared" ref="K43:O43" si="38">K37/K$29</f>
        <v>4.157595755716458</v>
      </c>
      <c r="L43" s="45">
        <f t="shared" si="38"/>
        <v>4.157595755716458</v>
      </c>
      <c r="M43" s="45">
        <f t="shared" si="38"/>
        <v>4.157595755716458</v>
      </c>
      <c r="N43" s="45">
        <f t="shared" si="38"/>
        <v>4.157595755716458</v>
      </c>
      <c r="O43" s="45">
        <f t="shared" si="38"/>
        <v>0.59509575571645745</v>
      </c>
      <c r="P43" s="45">
        <f>P37/P$29</f>
        <v>2.6753964213555901</v>
      </c>
    </row>
    <row r="47" spans="1:16">
      <c r="A47" s="42" t="s">
        <v>4</v>
      </c>
      <c r="B47" s="44" t="s">
        <v>67</v>
      </c>
      <c r="C47" s="44" t="s">
        <v>68</v>
      </c>
      <c r="D47" s="44" t="s">
        <v>69</v>
      </c>
      <c r="E47" s="44" t="s">
        <v>70</v>
      </c>
      <c r="F47" s="44" t="s">
        <v>12</v>
      </c>
      <c r="G47" s="44" t="s">
        <v>13</v>
      </c>
      <c r="J47" s="42" t="s">
        <v>4</v>
      </c>
      <c r="K47" s="44" t="s">
        <v>67</v>
      </c>
      <c r="L47" s="44" t="s">
        <v>68</v>
      </c>
      <c r="M47" s="44" t="s">
        <v>69</v>
      </c>
      <c r="N47" s="44" t="s">
        <v>70</v>
      </c>
      <c r="O47" s="44" t="s">
        <v>12</v>
      </c>
      <c r="P47" s="44" t="s">
        <v>13</v>
      </c>
    </row>
    <row r="48" spans="1:16">
      <c r="A48" s="40" t="s">
        <v>11</v>
      </c>
      <c r="B48" s="40">
        <f>$K$2</f>
        <v>144</v>
      </c>
      <c r="C48" s="40">
        <f>$K$2</f>
        <v>144</v>
      </c>
      <c r="D48" s="40">
        <f>$K$2</f>
        <v>144</v>
      </c>
      <c r="E48" s="40">
        <f>$K$2</f>
        <v>144</v>
      </c>
      <c r="F48" s="41">
        <f>G48-SUM(B48:E48)</f>
        <v>292.96279525491207</v>
      </c>
      <c r="G48" s="41">
        <f>$C$4</f>
        <v>868.96279525491207</v>
      </c>
      <c r="J48" s="40" t="s">
        <v>11</v>
      </c>
      <c r="K48" s="40">
        <f>$K$2</f>
        <v>144</v>
      </c>
      <c r="L48" s="40">
        <f>$K$2</f>
        <v>144</v>
      </c>
      <c r="M48" s="40">
        <f>$K$2</f>
        <v>144</v>
      </c>
      <c r="N48" s="40">
        <f>$K$2</f>
        <v>144</v>
      </c>
      <c r="O48" s="41">
        <f>P48-SUM(K48:N48)</f>
        <v>292.96279525491207</v>
      </c>
      <c r="P48" s="41">
        <f>$C$4</f>
        <v>868.96279525491207</v>
      </c>
    </row>
    <row r="49" spans="1:16">
      <c r="A49" s="40" t="s">
        <v>14</v>
      </c>
      <c r="B49" s="41">
        <f>$G49*B$48/$G48</f>
        <v>248.24077760051907</v>
      </c>
      <c r="C49" s="41">
        <f>$G49*C$48/$G48</f>
        <v>248.24077760051907</v>
      </c>
      <c r="D49" s="41">
        <f>$G49*D$48/$G48</f>
        <v>248.24077760051907</v>
      </c>
      <c r="E49" s="41">
        <f>$G49*E$48/$G48</f>
        <v>248.24077760051907</v>
      </c>
      <c r="F49" s="41">
        <f>$G49*F$48/$G48</f>
        <v>505.03688959792379</v>
      </c>
      <c r="G49" s="40">
        <f>$D$4</f>
        <v>1498</v>
      </c>
      <c r="J49" s="40" t="s">
        <v>16</v>
      </c>
      <c r="K49" s="41">
        <f>$P49*K$48/$P48</f>
        <v>108.04605273400429</v>
      </c>
      <c r="L49" s="41">
        <f>$P49*L$48/$P48</f>
        <v>108.04605273400429</v>
      </c>
      <c r="M49" s="41">
        <f>$P49*M$48/$P48</f>
        <v>108.04605273400429</v>
      </c>
      <c r="N49" s="41">
        <f>$P49*N$48/$P48</f>
        <v>108.04605273400429</v>
      </c>
      <c r="O49" s="41">
        <f>$P49*O$48/$P48</f>
        <v>219.81578906398283</v>
      </c>
      <c r="P49" s="40">
        <f>$F$4</f>
        <v>652</v>
      </c>
    </row>
    <row r="50" spans="1:16">
      <c r="A50" s="40" t="s">
        <v>52</v>
      </c>
      <c r="B50" s="45">
        <f t="shared" ref="B50" si="39">B49/B48</f>
        <v>1.7238942888924935</v>
      </c>
      <c r="C50" s="45">
        <f t="shared" ref="C50" si="40">C49/C48</f>
        <v>1.7238942888924935</v>
      </c>
      <c r="D50" s="45">
        <f t="shared" ref="D50" si="41">D49/D48</f>
        <v>1.7238942888924935</v>
      </c>
      <c r="E50" s="45">
        <f t="shared" ref="E50" si="42">E49/E48</f>
        <v>1.7238942888924935</v>
      </c>
      <c r="F50" s="45">
        <f>F49/F48</f>
        <v>1.7238942888924935</v>
      </c>
      <c r="G50" s="45">
        <f>G49/G48</f>
        <v>1.7238942888924935</v>
      </c>
      <c r="J50" s="40" t="s">
        <v>57</v>
      </c>
      <c r="K50" s="45">
        <f t="shared" ref="K50" si="43">K49/K48</f>
        <v>0.75031981065280762</v>
      </c>
      <c r="L50" s="45">
        <f t="shared" ref="L50" si="44">L49/L48</f>
        <v>0.75031981065280762</v>
      </c>
      <c r="M50" s="45">
        <f t="shared" ref="M50" si="45">M49/M48</f>
        <v>0.75031981065280762</v>
      </c>
      <c r="N50" s="45">
        <f t="shared" ref="N50" si="46">N49/N48</f>
        <v>0.75031981065280762</v>
      </c>
      <c r="O50" s="45">
        <f t="shared" ref="O50" si="47">O49/O48</f>
        <v>0.75031981065280751</v>
      </c>
      <c r="P50" s="45">
        <f>P49/P48</f>
        <v>0.75031981065280751</v>
      </c>
    </row>
    <row r="51" spans="1:16">
      <c r="A51" s="44" t="s">
        <v>50</v>
      </c>
      <c r="B51" s="44"/>
      <c r="C51" s="44"/>
      <c r="D51" s="44"/>
      <c r="E51" s="44"/>
      <c r="F51" s="44"/>
      <c r="G51" s="44"/>
      <c r="J51" s="44" t="s">
        <v>51</v>
      </c>
      <c r="K51" s="44"/>
      <c r="L51" s="44"/>
      <c r="M51" s="44"/>
      <c r="N51" s="44"/>
      <c r="O51" s="44"/>
      <c r="P51" s="44"/>
    </row>
    <row r="52" spans="1:16">
      <c r="A52" s="40" t="s">
        <v>21</v>
      </c>
      <c r="B52" s="41">
        <f>$G52*B48/$G$48</f>
        <v>1388.5243494758006</v>
      </c>
      <c r="C52" s="41">
        <f>$G52*C48/$G$48</f>
        <v>1388.5243494758006</v>
      </c>
      <c r="D52" s="41">
        <f>$G52*D48/$G$48</f>
        <v>1388.5243494758006</v>
      </c>
      <c r="E52" s="41">
        <f>$G52*E48/$G$48</f>
        <v>1388.5243494758006</v>
      </c>
      <c r="F52" s="41">
        <f>$G52*F48/$G$48</f>
        <v>2824.9026020967976</v>
      </c>
      <c r="G52" s="40">
        <f>$E$4</f>
        <v>8379</v>
      </c>
      <c r="J52" s="40" t="s">
        <v>21</v>
      </c>
      <c r="K52" s="41">
        <f>$P52*K48/$P$48</f>
        <v>416.44130447937545</v>
      </c>
      <c r="L52" s="41">
        <f>$P52*L48/$P$48</f>
        <v>416.44130447937545</v>
      </c>
      <c r="M52" s="41">
        <f>$P52*M48/$P$48</f>
        <v>416.44130447937545</v>
      </c>
      <c r="N52" s="41">
        <f>$P52*N48/$P$48</f>
        <v>416.44130447937545</v>
      </c>
      <c r="O52" s="41">
        <f>$P52*O48/$P$48</f>
        <v>847.23478208249833</v>
      </c>
      <c r="P52" s="40">
        <f>$G$4</f>
        <v>2513</v>
      </c>
    </row>
    <row r="53" spans="1:16">
      <c r="A53" s="40" t="s">
        <v>22</v>
      </c>
      <c r="B53" s="41">
        <f>G53-SUM(C53:F53)</f>
        <v>7129.2407776005193</v>
      </c>
      <c r="C53" s="41">
        <f>C49</f>
        <v>248.24077760051907</v>
      </c>
      <c r="D53" s="41">
        <f t="shared" ref="D53:E53" si="48">D49</f>
        <v>248.24077760051907</v>
      </c>
      <c r="E53" s="41">
        <f t="shared" si="48"/>
        <v>248.24077760051907</v>
      </c>
      <c r="F53" s="41">
        <f>F49</f>
        <v>505.03688959792379</v>
      </c>
      <c r="G53" s="40">
        <f>$E$4</f>
        <v>8379</v>
      </c>
      <c r="J53" s="40" t="s">
        <v>22</v>
      </c>
      <c r="K53" s="41">
        <f>P53-SUM(L53:O53)</f>
        <v>1969.0460527340042</v>
      </c>
      <c r="L53" s="41">
        <f>L49</f>
        <v>108.04605273400429</v>
      </c>
      <c r="M53" s="41">
        <f t="shared" ref="M53:O53" si="49">M49</f>
        <v>108.04605273400429</v>
      </c>
      <c r="N53" s="41">
        <f t="shared" si="49"/>
        <v>108.04605273400429</v>
      </c>
      <c r="O53" s="41">
        <f>O49</f>
        <v>219.81578906398283</v>
      </c>
      <c r="P53" s="40">
        <f>$G$4</f>
        <v>2513</v>
      </c>
    </row>
    <row r="54" spans="1:16">
      <c r="A54" s="40" t="s">
        <v>53</v>
      </c>
      <c r="B54" s="41">
        <f>(G54-SUM(D54:F54))/2</f>
        <v>3688.7407776005189</v>
      </c>
      <c r="C54" s="41">
        <f>B54</f>
        <v>3688.7407776005189</v>
      </c>
      <c r="D54" s="41">
        <f>D49</f>
        <v>248.24077760051907</v>
      </c>
      <c r="E54" s="41">
        <f t="shared" ref="E54:F54" si="50">E49</f>
        <v>248.24077760051907</v>
      </c>
      <c r="F54" s="41">
        <f>F49</f>
        <v>505.03688959792379</v>
      </c>
      <c r="G54" s="40">
        <f>$E$4</f>
        <v>8379</v>
      </c>
      <c r="J54" s="40" t="s">
        <v>53</v>
      </c>
      <c r="K54" s="41">
        <f>(P54-SUM(M54:O54))/2</f>
        <v>1038.5460527340042</v>
      </c>
      <c r="L54" s="41">
        <f>K54</f>
        <v>1038.5460527340042</v>
      </c>
      <c r="M54" s="41">
        <f>M49</f>
        <v>108.04605273400429</v>
      </c>
      <c r="N54" s="41">
        <f t="shared" ref="N54:O54" si="51">N49</f>
        <v>108.04605273400429</v>
      </c>
      <c r="O54" s="41">
        <f>O49</f>
        <v>219.81578906398283</v>
      </c>
      <c r="P54" s="40">
        <f>$G$4</f>
        <v>2513</v>
      </c>
    </row>
    <row r="55" spans="1:16">
      <c r="A55" s="40" t="s">
        <v>54</v>
      </c>
      <c r="B55" s="41">
        <f>(G55-SUM(E55:F55))/3</f>
        <v>2541.9074442671858</v>
      </c>
      <c r="C55" s="41">
        <f>B55</f>
        <v>2541.9074442671858</v>
      </c>
      <c r="D55" s="41">
        <f>B55</f>
        <v>2541.9074442671858</v>
      </c>
      <c r="E55" s="41">
        <f>E49</f>
        <v>248.24077760051907</v>
      </c>
      <c r="F55" s="41">
        <f>F49</f>
        <v>505.03688959792379</v>
      </c>
      <c r="G55" s="40">
        <f>$E$4</f>
        <v>8379</v>
      </c>
      <c r="J55" s="40" t="s">
        <v>54</v>
      </c>
      <c r="K55" s="41">
        <f>(P55-SUM(N55:O55))/3</f>
        <v>728.37938606733769</v>
      </c>
      <c r="L55" s="41">
        <f>K55</f>
        <v>728.37938606733769</v>
      </c>
      <c r="M55" s="41">
        <f>K55</f>
        <v>728.37938606733769</v>
      </c>
      <c r="N55" s="41">
        <f>N49</f>
        <v>108.04605273400429</v>
      </c>
      <c r="O55" s="41">
        <f>O49</f>
        <v>219.81578906398283</v>
      </c>
      <c r="P55" s="40">
        <f>$G$4</f>
        <v>2513</v>
      </c>
    </row>
    <row r="56" spans="1:16">
      <c r="A56" s="40" t="s">
        <v>55</v>
      </c>
      <c r="B56" s="41">
        <f>(G56-F56)/4</f>
        <v>1968.4907776005191</v>
      </c>
      <c r="C56" s="41">
        <f>B56</f>
        <v>1968.4907776005191</v>
      </c>
      <c r="D56" s="41">
        <f>B56</f>
        <v>1968.4907776005191</v>
      </c>
      <c r="E56" s="41">
        <f>B56</f>
        <v>1968.4907776005191</v>
      </c>
      <c r="F56" s="41">
        <f>F49</f>
        <v>505.03688959792379</v>
      </c>
      <c r="G56" s="40">
        <f>$E$4</f>
        <v>8379</v>
      </c>
      <c r="J56" s="40" t="s">
        <v>55</v>
      </c>
      <c r="K56" s="41">
        <f>(P56-O56)/4</f>
        <v>573.29605273400432</v>
      </c>
      <c r="L56" s="41">
        <f>K56</f>
        <v>573.29605273400432</v>
      </c>
      <c r="M56" s="41">
        <f>K56</f>
        <v>573.29605273400432</v>
      </c>
      <c r="N56" s="41">
        <f>K56</f>
        <v>573.29605273400432</v>
      </c>
      <c r="O56" s="41">
        <f>O49</f>
        <v>219.81578906398283</v>
      </c>
      <c r="P56" s="40">
        <f>$G$4</f>
        <v>2513</v>
      </c>
    </row>
    <row r="57" spans="1:16">
      <c r="A57" s="44" t="s">
        <v>56</v>
      </c>
      <c r="B57" s="44"/>
      <c r="C57" s="44"/>
      <c r="D57" s="44"/>
      <c r="E57" s="44"/>
      <c r="F57" s="44"/>
      <c r="G57" s="44"/>
      <c r="J57" s="44" t="s">
        <v>58</v>
      </c>
      <c r="K57" s="44"/>
      <c r="L57" s="44"/>
      <c r="M57" s="44"/>
      <c r="N57" s="44"/>
      <c r="O57" s="44"/>
      <c r="P57" s="44"/>
    </row>
    <row r="58" spans="1:16">
      <c r="A58" s="40" t="s">
        <v>21</v>
      </c>
      <c r="B58" s="45">
        <f>B52/B$48</f>
        <v>9.6425302046930597</v>
      </c>
      <c r="C58" s="45">
        <f>C52/C$48</f>
        <v>9.6425302046930597</v>
      </c>
      <c r="D58" s="45">
        <f>D52/D$48</f>
        <v>9.6425302046930597</v>
      </c>
      <c r="E58" s="45">
        <f>E52/E$48</f>
        <v>9.6425302046930597</v>
      </c>
      <c r="F58" s="45">
        <f>F52/F$48</f>
        <v>9.6425302046930579</v>
      </c>
      <c r="G58" s="45">
        <f>G52/G$48</f>
        <v>9.6425302046930597</v>
      </c>
      <c r="J58" s="40" t="s">
        <v>21</v>
      </c>
      <c r="K58" s="45">
        <f t="shared" ref="K58:O58" si="52">K52/K$48</f>
        <v>2.8919535033289963</v>
      </c>
      <c r="L58" s="45">
        <f t="shared" si="52"/>
        <v>2.8919535033289963</v>
      </c>
      <c r="M58" s="45">
        <f t="shared" si="52"/>
        <v>2.8919535033289963</v>
      </c>
      <c r="N58" s="45">
        <f t="shared" si="52"/>
        <v>2.8919535033289963</v>
      </c>
      <c r="O58" s="45">
        <f>O52/O$48</f>
        <v>2.8919535033289963</v>
      </c>
      <c r="P58" s="45">
        <f>P52/P$48</f>
        <v>2.8919535033289958</v>
      </c>
    </row>
    <row r="59" spans="1:16">
      <c r="A59" s="40" t="s">
        <v>22</v>
      </c>
      <c r="B59" s="45">
        <f>B53/B$48</f>
        <v>49.508616511114717</v>
      </c>
      <c r="C59" s="45">
        <f>C53/C$48</f>
        <v>1.7238942888924935</v>
      </c>
      <c r="D59" s="45">
        <f>D53/D$48</f>
        <v>1.7238942888924935</v>
      </c>
      <c r="E59" s="45">
        <f>E53/E$48</f>
        <v>1.7238942888924935</v>
      </c>
      <c r="F59" s="45">
        <f>F53/F$48</f>
        <v>1.7238942888924935</v>
      </c>
      <c r="G59" s="45">
        <f>G53/G$48</f>
        <v>9.6425302046930597</v>
      </c>
      <c r="J59" s="40" t="s">
        <v>22</v>
      </c>
      <c r="K59" s="45">
        <f t="shared" ref="K59:N59" si="53">K53/K$48</f>
        <v>13.673930921763919</v>
      </c>
      <c r="L59" s="45">
        <f t="shared" si="53"/>
        <v>0.75031981065280762</v>
      </c>
      <c r="M59" s="45">
        <f t="shared" si="53"/>
        <v>0.75031981065280762</v>
      </c>
      <c r="N59" s="45">
        <f t="shared" si="53"/>
        <v>0.75031981065280762</v>
      </c>
      <c r="O59" s="45">
        <f>O53/O$48</f>
        <v>0.75031981065280751</v>
      </c>
      <c r="P59" s="45">
        <f>P53/P$48</f>
        <v>2.8919535033289958</v>
      </c>
    </row>
    <row r="60" spans="1:16">
      <c r="A60" s="40" t="s">
        <v>53</v>
      </c>
      <c r="B60" s="45">
        <f>B54/B$48</f>
        <v>25.616255400003602</v>
      </c>
      <c r="C60" s="45">
        <f>C54/C$48</f>
        <v>25.616255400003602</v>
      </c>
      <c r="D60" s="45">
        <f>D54/D$48</f>
        <v>1.7238942888924935</v>
      </c>
      <c r="E60" s="45">
        <f>E54/E$48</f>
        <v>1.7238942888924935</v>
      </c>
      <c r="F60" s="45">
        <f>F54/F$48</f>
        <v>1.7238942888924935</v>
      </c>
      <c r="G60" s="45">
        <f>G54/G$48</f>
        <v>9.6425302046930597</v>
      </c>
      <c r="J60" s="40" t="s">
        <v>53</v>
      </c>
      <c r="K60" s="45">
        <f t="shared" ref="K60:N60" si="54">K54/K$48</f>
        <v>7.2121253662083626</v>
      </c>
      <c r="L60" s="45">
        <f t="shared" si="54"/>
        <v>7.2121253662083626</v>
      </c>
      <c r="M60" s="45">
        <f t="shared" si="54"/>
        <v>0.75031981065280762</v>
      </c>
      <c r="N60" s="45">
        <f t="shared" si="54"/>
        <v>0.75031981065280762</v>
      </c>
      <c r="O60" s="45">
        <f>O54/O$48</f>
        <v>0.75031981065280751</v>
      </c>
      <c r="P60" s="45">
        <f>P54/P$48</f>
        <v>2.8919535033289958</v>
      </c>
    </row>
    <row r="61" spans="1:16">
      <c r="A61" s="40" t="s">
        <v>54</v>
      </c>
      <c r="B61" s="45">
        <f>B55/B$48</f>
        <v>17.652135029633236</v>
      </c>
      <c r="C61" s="45">
        <f>C55/C$48</f>
        <v>17.652135029633236</v>
      </c>
      <c r="D61" s="45">
        <f>D55/D$48</f>
        <v>17.652135029633236</v>
      </c>
      <c r="E61" s="45">
        <f>E55/E$48</f>
        <v>1.7238942888924935</v>
      </c>
      <c r="F61" s="45">
        <f>F55/F$48</f>
        <v>1.7238942888924935</v>
      </c>
      <c r="G61" s="45">
        <f>G55/G$48</f>
        <v>9.6425302046930597</v>
      </c>
      <c r="J61" s="40" t="s">
        <v>54</v>
      </c>
      <c r="K61" s="45">
        <f t="shared" ref="K61:N61" si="55">K55/K$48</f>
        <v>5.0581901810231784</v>
      </c>
      <c r="L61" s="45">
        <f t="shared" si="55"/>
        <v>5.0581901810231784</v>
      </c>
      <c r="M61" s="45">
        <f t="shared" si="55"/>
        <v>5.0581901810231784</v>
      </c>
      <c r="N61" s="45">
        <f t="shared" si="55"/>
        <v>0.75031981065280762</v>
      </c>
      <c r="O61" s="45">
        <f>O55/O$48</f>
        <v>0.75031981065280751</v>
      </c>
      <c r="P61" s="45">
        <f>P55/P$48</f>
        <v>2.8919535033289958</v>
      </c>
    </row>
    <row r="62" spans="1:16">
      <c r="A62" s="40" t="s">
        <v>55</v>
      </c>
      <c r="B62" s="45">
        <f>B56/B$48</f>
        <v>13.670074844448049</v>
      </c>
      <c r="C62" s="45">
        <f>C56/C$48</f>
        <v>13.670074844448049</v>
      </c>
      <c r="D62" s="45">
        <f>D56/D$48</f>
        <v>13.670074844448049</v>
      </c>
      <c r="E62" s="45">
        <f>E56/E$48</f>
        <v>13.670074844448049</v>
      </c>
      <c r="F62" s="45">
        <f>F56/F$48</f>
        <v>1.7238942888924935</v>
      </c>
      <c r="G62" s="45">
        <f>G56/G$48</f>
        <v>9.6425302046930597</v>
      </c>
      <c r="J62" s="40" t="s">
        <v>55</v>
      </c>
      <c r="K62" s="45">
        <f t="shared" ref="K62:N62" si="56">K56/K$48</f>
        <v>3.9812225884305854</v>
      </c>
      <c r="L62" s="45">
        <f t="shared" si="56"/>
        <v>3.9812225884305854</v>
      </c>
      <c r="M62" s="45">
        <f t="shared" si="56"/>
        <v>3.9812225884305854</v>
      </c>
      <c r="N62" s="45">
        <f t="shared" si="56"/>
        <v>3.9812225884305854</v>
      </c>
      <c r="O62" s="45">
        <f>O56/O$48</f>
        <v>0.75031981065280751</v>
      </c>
      <c r="P62" s="45">
        <f>P56/P$48</f>
        <v>2.8919535033289958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2D7D-C4F5-F646-8F5D-7C0A50C461E4}">
  <dimension ref="A1:Y69"/>
  <sheetViews>
    <sheetView zoomScale="80" zoomScaleNormal="80" workbookViewId="0">
      <selection activeCell="H42" sqref="H42"/>
    </sheetView>
  </sheetViews>
  <sheetFormatPr baseColWidth="10" defaultColWidth="10.6640625" defaultRowHeight="16"/>
  <cols>
    <col min="1" max="1" width="19.1640625" style="3" bestFit="1" customWidth="1"/>
    <col min="2" max="2" width="21.1640625" style="3" bestFit="1" customWidth="1"/>
    <col min="3" max="3" width="19.1640625" style="3" bestFit="1" customWidth="1"/>
    <col min="4" max="4" width="22" style="3" bestFit="1" customWidth="1"/>
    <col min="5" max="5" width="15.33203125" style="3" bestFit="1" customWidth="1"/>
    <col min="6" max="6" width="19.83203125" style="3" bestFit="1" customWidth="1"/>
    <col min="7" max="7" width="22.6640625" style="3" customWidth="1"/>
    <col min="8" max="8" width="15.33203125" style="3" bestFit="1" customWidth="1"/>
    <col min="9" max="9" width="19" style="3" bestFit="1" customWidth="1"/>
    <col min="10" max="10" width="21.1640625" style="3" bestFit="1" customWidth="1"/>
    <col min="11" max="11" width="22" style="3" bestFit="1" customWidth="1"/>
    <col min="12" max="19" width="10.6640625" style="3"/>
    <col min="20" max="20" width="11.6640625" style="3" bestFit="1" customWidth="1"/>
    <col min="21" max="16384" width="10.6640625" style="3"/>
  </cols>
  <sheetData>
    <row r="1" spans="1:25">
      <c r="B1" s="3" t="s">
        <v>9</v>
      </c>
      <c r="C1" s="3" t="s">
        <v>8</v>
      </c>
      <c r="F1" s="3" t="s">
        <v>10</v>
      </c>
    </row>
    <row r="2" spans="1:25">
      <c r="A2" s="3" t="s">
        <v>3</v>
      </c>
      <c r="B2" s="12">
        <v>7841217.4859999996</v>
      </c>
      <c r="C2" s="12">
        <f>B2/10000</f>
        <v>784.12174859999993</v>
      </c>
      <c r="D2"/>
      <c r="E2"/>
      <c r="F2" s="3">
        <v>144</v>
      </c>
    </row>
    <row r="3" spans="1:25">
      <c r="A3" s="3" t="s">
        <v>5</v>
      </c>
      <c r="B3" s="12">
        <v>13200302.26</v>
      </c>
      <c r="C3" s="12">
        <f>B3/10000</f>
        <v>1320.0302260000001</v>
      </c>
      <c r="D3"/>
      <c r="E3"/>
    </row>
    <row r="4" spans="1:25">
      <c r="A4" s="3" t="s">
        <v>4</v>
      </c>
      <c r="B4" s="12">
        <v>6365404.125</v>
      </c>
      <c r="C4" s="12">
        <f>B4/10000</f>
        <v>636.5404125</v>
      </c>
      <c r="D4"/>
      <c r="E4"/>
    </row>
    <row r="8" spans="1:25">
      <c r="B8" s="36" t="s">
        <v>3</v>
      </c>
      <c r="C8" s="36"/>
      <c r="D8" s="36"/>
      <c r="E8" s="37" t="s">
        <v>5</v>
      </c>
      <c r="F8" s="37"/>
      <c r="G8" s="37"/>
      <c r="H8" s="36" t="s">
        <v>4</v>
      </c>
      <c r="I8" s="36"/>
      <c r="J8" s="36"/>
    </row>
    <row r="9" spans="1:25">
      <c r="B9" s="15" t="s">
        <v>35</v>
      </c>
      <c r="C9" s="15" t="s">
        <v>34</v>
      </c>
      <c r="D9" s="15" t="s">
        <v>40</v>
      </c>
      <c r="E9" s="15" t="s">
        <v>35</v>
      </c>
      <c r="F9" s="15" t="s">
        <v>34</v>
      </c>
      <c r="G9" s="15" t="s">
        <v>40</v>
      </c>
      <c r="H9" s="15" t="s">
        <v>35</v>
      </c>
      <c r="I9" s="15" t="s">
        <v>34</v>
      </c>
      <c r="J9" s="15" t="s">
        <v>40</v>
      </c>
    </row>
    <row r="10" spans="1:25">
      <c r="A10" s="3" t="s">
        <v>6</v>
      </c>
      <c r="B10" s="19">
        <v>1312</v>
      </c>
      <c r="C10" s="19">
        <v>1312</v>
      </c>
      <c r="D10" s="19">
        <v>1312</v>
      </c>
      <c r="E10" s="12">
        <v>2367.0299999999997</v>
      </c>
      <c r="F10" s="12">
        <v>2367.0299999999997</v>
      </c>
      <c r="G10" s="3">
        <v>2367</v>
      </c>
      <c r="H10" s="21">
        <v>1362.6538624999998</v>
      </c>
      <c r="I10" s="21">
        <v>1362.6538624999998</v>
      </c>
      <c r="J10" s="19">
        <v>1363</v>
      </c>
    </row>
    <row r="11" spans="1:25">
      <c r="A11" s="13" t="s">
        <v>1</v>
      </c>
      <c r="B11" s="22">
        <v>31825.742474404215</v>
      </c>
      <c r="C11" s="21">
        <v>31495.818687210405</v>
      </c>
      <c r="D11" s="19">
        <v>31562</v>
      </c>
      <c r="E11" s="12">
        <v>22449.600883278101</v>
      </c>
      <c r="F11" s="12">
        <v>30322.532201012582</v>
      </c>
      <c r="G11" s="24">
        <v>39128</v>
      </c>
      <c r="H11" s="21">
        <v>8076.7878906116057</v>
      </c>
      <c r="I11" s="22">
        <v>10414.099387122702</v>
      </c>
      <c r="J11" s="19">
        <v>651</v>
      </c>
      <c r="V11" s="14"/>
      <c r="W11" s="14"/>
      <c r="X11" s="14"/>
      <c r="Y11" s="14"/>
    </row>
    <row r="12" spans="1:25">
      <c r="A12" s="3" t="s">
        <v>7</v>
      </c>
      <c r="B12" s="19">
        <v>407</v>
      </c>
      <c r="C12" s="19">
        <v>407</v>
      </c>
      <c r="D12" s="19">
        <v>407</v>
      </c>
      <c r="E12" s="12">
        <v>819.37978209199991</v>
      </c>
      <c r="F12" s="12">
        <v>819.37978209199991</v>
      </c>
      <c r="G12" s="3">
        <v>819</v>
      </c>
      <c r="H12" s="21">
        <v>823.910578558</v>
      </c>
      <c r="I12" s="21">
        <v>823.910578558</v>
      </c>
      <c r="J12" s="19">
        <v>824</v>
      </c>
      <c r="V12" s="14"/>
      <c r="W12" s="14"/>
      <c r="X12" s="14"/>
      <c r="Y12" s="14"/>
    </row>
    <row r="13" spans="1:25">
      <c r="A13" s="3" t="s">
        <v>2</v>
      </c>
      <c r="B13" s="21">
        <v>9218.4322912625175</v>
      </c>
      <c r="C13" s="21">
        <v>10702.483546759144</v>
      </c>
      <c r="D13" s="23">
        <v>11003</v>
      </c>
      <c r="E13" s="12">
        <v>2725.8963351898997</v>
      </c>
      <c r="F13" s="12">
        <v>3131.5128242973988</v>
      </c>
      <c r="G13" s="24">
        <v>3169</v>
      </c>
      <c r="H13" s="21">
        <v>5823.9321777364194</v>
      </c>
      <c r="I13" s="21">
        <v>6224.5191679784821</v>
      </c>
      <c r="J13" s="23">
        <v>6281</v>
      </c>
      <c r="V13" s="14"/>
      <c r="W13" s="14"/>
      <c r="X13" s="14"/>
      <c r="Y13" s="14"/>
    </row>
    <row r="14" spans="1:25">
      <c r="V14" s="14"/>
      <c r="W14" s="14"/>
      <c r="X14" s="14"/>
      <c r="Y14" s="14"/>
    </row>
    <row r="15" spans="1:25">
      <c r="V15" s="14"/>
      <c r="W15" s="14"/>
      <c r="X15" s="14"/>
      <c r="Y15" s="14"/>
    </row>
    <row r="16" spans="1:25">
      <c r="V16" s="14"/>
      <c r="W16" s="14"/>
      <c r="X16" s="14"/>
      <c r="Y16" s="14"/>
    </row>
    <row r="17" spans="1:25">
      <c r="V17" s="14"/>
      <c r="W17" s="14"/>
      <c r="X17" s="14"/>
      <c r="Y17" s="14"/>
    </row>
    <row r="18" spans="1:25">
      <c r="A18" s="15"/>
      <c r="B18" s="16" t="s">
        <v>19</v>
      </c>
      <c r="C18" s="15" t="s">
        <v>29</v>
      </c>
      <c r="D18" s="15" t="s">
        <v>18</v>
      </c>
      <c r="E18" s="15" t="s">
        <v>30</v>
      </c>
      <c r="F18" s="17" t="s">
        <v>12</v>
      </c>
      <c r="G18" s="17" t="s">
        <v>13</v>
      </c>
      <c r="I18" s="15"/>
      <c r="J18" s="16" t="s">
        <v>19</v>
      </c>
      <c r="K18" s="15" t="s">
        <v>29</v>
      </c>
      <c r="L18" s="15" t="s">
        <v>18</v>
      </c>
      <c r="M18" s="15" t="s">
        <v>30</v>
      </c>
      <c r="N18" s="17" t="s">
        <v>12</v>
      </c>
      <c r="O18" s="17" t="s">
        <v>13</v>
      </c>
      <c r="V18" s="14"/>
      <c r="W18" s="14"/>
      <c r="X18" s="14"/>
      <c r="Y18" s="14"/>
    </row>
    <row r="19" spans="1:25">
      <c r="A19" s="3" t="s">
        <v>11</v>
      </c>
      <c r="B19" s="12">
        <f>$F$2</f>
        <v>144</v>
      </c>
      <c r="C19" s="12">
        <f>$F$2</f>
        <v>144</v>
      </c>
      <c r="D19" s="12">
        <f>$F$2</f>
        <v>144</v>
      </c>
      <c r="E19" s="12">
        <f>$F$2</f>
        <v>144</v>
      </c>
      <c r="F19" s="12">
        <f>G19-E19-D19-C19-B19</f>
        <v>208.12174859999993</v>
      </c>
      <c r="G19" s="12">
        <f>$C$2</f>
        <v>784.12174859999993</v>
      </c>
      <c r="I19" s="3" t="s">
        <v>11</v>
      </c>
      <c r="J19" s="12">
        <f>$F$2</f>
        <v>144</v>
      </c>
      <c r="K19" s="12">
        <f>$F$2</f>
        <v>144</v>
      </c>
      <c r="L19" s="12">
        <f>$F$2</f>
        <v>144</v>
      </c>
      <c r="M19" s="12">
        <f>$F$2</f>
        <v>144</v>
      </c>
      <c r="N19" s="12">
        <f>O19-M19-L19-K19-J19</f>
        <v>208.12174859999993</v>
      </c>
      <c r="O19" s="12">
        <f>C2</f>
        <v>784.12174859999993</v>
      </c>
    </row>
    <row r="20" spans="1:25">
      <c r="A20" s="3" t="s">
        <v>14</v>
      </c>
      <c r="B20" s="12">
        <f>B19*$G$20/$G$19</f>
        <v>240.94217554521228</v>
      </c>
      <c r="C20" s="12">
        <f>C19*$G$20/$G$19</f>
        <v>240.94217554521228</v>
      </c>
      <c r="D20" s="12">
        <f>D19*$G$20/$G$19</f>
        <v>240.94217554521228</v>
      </c>
      <c r="E20" s="12">
        <f>E19*$G$20/$G$19</f>
        <v>240.94217554521228</v>
      </c>
      <c r="F20" s="12">
        <f>G20-E20-D20-C20-B20</f>
        <v>348.23129781915088</v>
      </c>
      <c r="G20" s="12">
        <v>1312</v>
      </c>
      <c r="I20" s="3" t="s">
        <v>16</v>
      </c>
      <c r="J20" s="12">
        <f>$O$20*J$19/$O$19</f>
        <v>74.743495005260215</v>
      </c>
      <c r="K20" s="12">
        <f>$O$20*K$19/$O$19</f>
        <v>74.743495005260215</v>
      </c>
      <c r="L20" s="12">
        <f>$O$20*L$19/$O$19</f>
        <v>74.743495005260215</v>
      </c>
      <c r="M20" s="12">
        <f>$O$20*M$19/$O$19</f>
        <v>74.743495005260215</v>
      </c>
      <c r="N20" s="12">
        <f>$O$20*N$19/$O$19</f>
        <v>108.02601997895916</v>
      </c>
      <c r="O20" s="12">
        <v>407</v>
      </c>
    </row>
    <row r="21" spans="1:25">
      <c r="A21" s="3" t="s">
        <v>15</v>
      </c>
      <c r="B21" s="18">
        <f t="shared" ref="B21:G21" si="0">B20/B19</f>
        <v>1.6732095523973074</v>
      </c>
      <c r="C21" s="18">
        <f t="shared" si="0"/>
        <v>1.6732095523973074</v>
      </c>
      <c r="D21" s="18">
        <f t="shared" si="0"/>
        <v>1.6732095523973074</v>
      </c>
      <c r="E21" s="18">
        <f t="shared" si="0"/>
        <v>1.6732095523973074</v>
      </c>
      <c r="F21" s="18">
        <f t="shared" si="0"/>
        <v>1.6732095523973076</v>
      </c>
      <c r="G21" s="18">
        <f t="shared" si="0"/>
        <v>1.6732095523973076</v>
      </c>
      <c r="I21" s="3" t="s">
        <v>17</v>
      </c>
      <c r="J21" s="18">
        <f t="shared" ref="J21:O21" si="1">J20/B19</f>
        <v>0.51905204864764043</v>
      </c>
      <c r="K21" s="18">
        <f t="shared" si="1"/>
        <v>0.51905204864764043</v>
      </c>
      <c r="L21" s="18">
        <f t="shared" si="1"/>
        <v>0.51905204864764043</v>
      </c>
      <c r="M21" s="18">
        <f t="shared" si="1"/>
        <v>0.51905204864764043</v>
      </c>
      <c r="N21" s="18">
        <f t="shared" si="1"/>
        <v>0.51905204864764043</v>
      </c>
      <c r="O21" s="18">
        <f t="shared" si="1"/>
        <v>0.51905204864764032</v>
      </c>
    </row>
    <row r="22" spans="1:25">
      <c r="A22" s="19" t="s">
        <v>20</v>
      </c>
      <c r="B22" s="19"/>
      <c r="C22" s="19"/>
      <c r="D22" s="19"/>
      <c r="E22" s="19"/>
      <c r="F22" s="19"/>
      <c r="G22" s="19"/>
      <c r="I22" s="19" t="s">
        <v>27</v>
      </c>
      <c r="J22" s="19"/>
      <c r="K22" s="19"/>
      <c r="L22" s="19"/>
      <c r="M22" s="19"/>
      <c r="N22" s="19"/>
      <c r="O22" s="19"/>
    </row>
    <row r="23" spans="1:25">
      <c r="A23" s="3" t="s">
        <v>21</v>
      </c>
      <c r="B23" s="20">
        <f>$G23*B$19/$G$19</f>
        <v>5844.6842064801267</v>
      </c>
      <c r="C23" s="20">
        <f>$G23*C$19/$G$19</f>
        <v>5844.6842064801267</v>
      </c>
      <c r="D23" s="20">
        <f>$G23*D$19/$G$19</f>
        <v>5844.6842064801267</v>
      </c>
      <c r="E23" s="20">
        <f>$G23*E$19/$G$19</f>
        <v>5844.6842064801267</v>
      </c>
      <c r="F23" s="20">
        <f>$G23*F$19/$G$19</f>
        <v>8447.2631740794932</v>
      </c>
      <c r="G23" s="3">
        <v>31826</v>
      </c>
      <c r="I23" s="3" t="s">
        <v>21</v>
      </c>
      <c r="J23" s="20">
        <f>$O23*J$19/$O$19</f>
        <v>2020.6453944542461</v>
      </c>
      <c r="K23" s="20">
        <f>$O23*K$19/$O$19</f>
        <v>2020.6453944542461</v>
      </c>
      <c r="L23" s="20">
        <f>$O23*L$19/$O$19</f>
        <v>2020.6453944542461</v>
      </c>
      <c r="M23" s="20">
        <f>$O23*M$19/$O$19</f>
        <v>2020.6453944542461</v>
      </c>
      <c r="N23" s="20">
        <f>$O23*N$19/$O$19</f>
        <v>2920.4184221830155</v>
      </c>
      <c r="O23" s="3">
        <v>11003</v>
      </c>
    </row>
    <row r="24" spans="1:25">
      <c r="A24" s="3" t="s">
        <v>22</v>
      </c>
      <c r="B24" s="12">
        <f>G24-F24-C24-D24-E24</f>
        <v>30754.942175545209</v>
      </c>
      <c r="C24" s="12">
        <f>C20</f>
        <v>240.94217554521228</v>
      </c>
      <c r="D24" s="12">
        <f>$D$20</f>
        <v>240.94217554521228</v>
      </c>
      <c r="E24" s="12">
        <f>$E$20</f>
        <v>240.94217554521228</v>
      </c>
      <c r="F24" s="12">
        <f>$F$20</f>
        <v>348.23129781915088</v>
      </c>
      <c r="G24" s="3">
        <f>G23</f>
        <v>31826</v>
      </c>
      <c r="I24" s="3" t="s">
        <v>22</v>
      </c>
      <c r="J24" s="12">
        <f>O24-N24-M24-L24-K24</f>
        <v>10670.743495005263</v>
      </c>
      <c r="K24" s="12">
        <f>K20</f>
        <v>74.743495005260215</v>
      </c>
      <c r="L24" s="12">
        <f>L20</f>
        <v>74.743495005260215</v>
      </c>
      <c r="M24" s="12">
        <f>M20</f>
        <v>74.743495005260215</v>
      </c>
      <c r="N24" s="12">
        <f>N20</f>
        <v>108.02601997895916</v>
      </c>
      <c r="O24" s="3">
        <v>11003</v>
      </c>
    </row>
    <row r="25" spans="1:25">
      <c r="A25" s="3" t="s">
        <v>23</v>
      </c>
      <c r="B25" s="12">
        <f>(G25-D25-E25-F25)/2</f>
        <v>15497.942175545211</v>
      </c>
      <c r="C25" s="12">
        <f>B25</f>
        <v>15497.942175545211</v>
      </c>
      <c r="D25" s="12">
        <f>$D$20</f>
        <v>240.94217554521228</v>
      </c>
      <c r="E25" s="12">
        <f>$E$20</f>
        <v>240.94217554521228</v>
      </c>
      <c r="F25" s="12">
        <f>$F$20</f>
        <v>348.23129781915088</v>
      </c>
      <c r="G25" s="3">
        <f>G24</f>
        <v>31826</v>
      </c>
      <c r="I25" s="3" t="s">
        <v>23</v>
      </c>
      <c r="J25" s="12">
        <f>(O25-N25-M25-L25)/2</f>
        <v>5372.7434950052611</v>
      </c>
      <c r="K25" s="12">
        <f>J25</f>
        <v>5372.7434950052611</v>
      </c>
      <c r="L25" s="12">
        <f>L20</f>
        <v>74.743495005260215</v>
      </c>
      <c r="M25" s="12">
        <f>M20</f>
        <v>74.743495005260215</v>
      </c>
      <c r="N25" s="12">
        <f>N20</f>
        <v>108.02601997895916</v>
      </c>
      <c r="O25" s="3">
        <v>11003</v>
      </c>
    </row>
    <row r="26" spans="1:25">
      <c r="A26" s="3" t="s">
        <v>24</v>
      </c>
      <c r="B26" s="12">
        <f>(G26-E26-F26)/3</f>
        <v>10412.275508878545</v>
      </c>
      <c r="C26" s="12">
        <f>B26</f>
        <v>10412.275508878545</v>
      </c>
      <c r="D26" s="12">
        <f>C26</f>
        <v>10412.275508878545</v>
      </c>
      <c r="E26" s="12">
        <f>$E$20</f>
        <v>240.94217554521228</v>
      </c>
      <c r="F26" s="12">
        <f>$F$20</f>
        <v>348.23129781915088</v>
      </c>
      <c r="G26" s="3">
        <f>G25</f>
        <v>31826</v>
      </c>
      <c r="I26" s="3" t="s">
        <v>24</v>
      </c>
      <c r="J26" s="12">
        <f>(O26-N26-M26)/3</f>
        <v>3606.7434950052607</v>
      </c>
      <c r="K26" s="12">
        <f>J26</f>
        <v>3606.7434950052607</v>
      </c>
      <c r="L26" s="12">
        <f>K26</f>
        <v>3606.7434950052607</v>
      </c>
      <c r="M26" s="12">
        <f>M20</f>
        <v>74.743495005260215</v>
      </c>
      <c r="N26" s="12">
        <f>N20</f>
        <v>108.02601997895916</v>
      </c>
      <c r="O26" s="3">
        <v>11003</v>
      </c>
    </row>
    <row r="27" spans="1:25">
      <c r="A27" s="3" t="s">
        <v>25</v>
      </c>
      <c r="B27" s="12">
        <f>(G27-F27)/4</f>
        <v>7869.4421755452122</v>
      </c>
      <c r="C27" s="12">
        <f>B27</f>
        <v>7869.4421755452122</v>
      </c>
      <c r="D27" s="12">
        <f>C27</f>
        <v>7869.4421755452122</v>
      </c>
      <c r="E27" s="12">
        <f>D27</f>
        <v>7869.4421755452122</v>
      </c>
      <c r="F27" s="12">
        <f>$F$20</f>
        <v>348.23129781915088</v>
      </c>
      <c r="G27" s="3">
        <f>G26</f>
        <v>31826</v>
      </c>
      <c r="I27" s="3" t="s">
        <v>25</v>
      </c>
      <c r="J27" s="12">
        <f>(O27-N27)/4</f>
        <v>2723.7434950052602</v>
      </c>
      <c r="K27" s="12">
        <f>J27</f>
        <v>2723.7434950052602</v>
      </c>
      <c r="L27" s="12">
        <f>K27</f>
        <v>2723.7434950052602</v>
      </c>
      <c r="M27" s="12">
        <f>L27</f>
        <v>2723.7434950052602</v>
      </c>
      <c r="N27" s="12">
        <f>N20</f>
        <v>108.02601997895916</v>
      </c>
      <c r="O27" s="3">
        <v>11003</v>
      </c>
    </row>
    <row r="28" spans="1:25">
      <c r="A28" s="19" t="s">
        <v>26</v>
      </c>
      <c r="B28" s="19"/>
      <c r="C28" s="19"/>
      <c r="D28" s="19"/>
      <c r="E28" s="19"/>
      <c r="F28" s="19"/>
      <c r="G28" s="19"/>
      <c r="I28" s="19" t="s">
        <v>28</v>
      </c>
      <c r="J28" s="19"/>
      <c r="K28" s="19"/>
      <c r="L28" s="19"/>
      <c r="M28" s="19"/>
      <c r="N28" s="19"/>
      <c r="O28" s="19"/>
    </row>
    <row r="29" spans="1:25">
      <c r="A29" s="3" t="s">
        <v>21</v>
      </c>
      <c r="B29" s="3">
        <f t="shared" ref="B29:G33" si="2">ROUND(B23/B$19,0)</f>
        <v>41</v>
      </c>
      <c r="C29" s="3">
        <f t="shared" si="2"/>
        <v>41</v>
      </c>
      <c r="D29" s="3">
        <f t="shared" si="2"/>
        <v>41</v>
      </c>
      <c r="E29" s="3">
        <f t="shared" si="2"/>
        <v>41</v>
      </c>
      <c r="F29" s="3">
        <f t="shared" si="2"/>
        <v>41</v>
      </c>
      <c r="G29" s="3">
        <f t="shared" si="2"/>
        <v>41</v>
      </c>
      <c r="I29" s="3" t="s">
        <v>21</v>
      </c>
      <c r="J29" s="3">
        <f t="shared" ref="J29:O33" si="3">ROUND(J23/J$19,0)</f>
        <v>14</v>
      </c>
      <c r="K29" s="3">
        <f t="shared" si="3"/>
        <v>14</v>
      </c>
      <c r="L29" s="3">
        <f t="shared" si="3"/>
        <v>14</v>
      </c>
      <c r="M29" s="3">
        <f t="shared" si="3"/>
        <v>14</v>
      </c>
      <c r="N29" s="3">
        <f t="shared" si="3"/>
        <v>14</v>
      </c>
      <c r="O29" s="3">
        <f t="shared" si="3"/>
        <v>14</v>
      </c>
    </row>
    <row r="30" spans="1:25">
      <c r="A30" s="3" t="s">
        <v>22</v>
      </c>
      <c r="B30" s="3">
        <f t="shared" si="2"/>
        <v>214</v>
      </c>
      <c r="C30" s="3">
        <f t="shared" si="2"/>
        <v>2</v>
      </c>
      <c r="D30" s="3">
        <f t="shared" si="2"/>
        <v>2</v>
      </c>
      <c r="E30" s="3">
        <f t="shared" si="2"/>
        <v>2</v>
      </c>
      <c r="F30" s="3">
        <f t="shared" si="2"/>
        <v>2</v>
      </c>
      <c r="G30" s="3">
        <f t="shared" si="2"/>
        <v>41</v>
      </c>
      <c r="I30" s="3" t="s">
        <v>22</v>
      </c>
      <c r="J30" s="3">
        <f t="shared" si="3"/>
        <v>74</v>
      </c>
      <c r="K30" s="3">
        <f t="shared" si="3"/>
        <v>1</v>
      </c>
      <c r="L30" s="3">
        <f t="shared" si="3"/>
        <v>1</v>
      </c>
      <c r="M30" s="3">
        <f t="shared" si="3"/>
        <v>1</v>
      </c>
      <c r="N30" s="3">
        <f t="shared" si="3"/>
        <v>1</v>
      </c>
      <c r="O30" s="3">
        <f t="shared" si="3"/>
        <v>14</v>
      </c>
    </row>
    <row r="31" spans="1:25">
      <c r="A31" s="3" t="s">
        <v>23</v>
      </c>
      <c r="B31" s="3">
        <f t="shared" si="2"/>
        <v>108</v>
      </c>
      <c r="C31" s="3">
        <f t="shared" si="2"/>
        <v>108</v>
      </c>
      <c r="D31" s="3">
        <f t="shared" si="2"/>
        <v>2</v>
      </c>
      <c r="E31" s="3">
        <f t="shared" si="2"/>
        <v>2</v>
      </c>
      <c r="F31" s="3">
        <f t="shared" si="2"/>
        <v>2</v>
      </c>
      <c r="G31" s="3">
        <f t="shared" si="2"/>
        <v>41</v>
      </c>
      <c r="I31" s="3" t="s">
        <v>23</v>
      </c>
      <c r="J31" s="3">
        <f t="shared" si="3"/>
        <v>37</v>
      </c>
      <c r="K31" s="3">
        <f t="shared" si="3"/>
        <v>37</v>
      </c>
      <c r="L31" s="3">
        <f t="shared" si="3"/>
        <v>1</v>
      </c>
      <c r="M31" s="3">
        <f t="shared" si="3"/>
        <v>1</v>
      </c>
      <c r="N31" s="3">
        <f t="shared" si="3"/>
        <v>1</v>
      </c>
      <c r="O31" s="3">
        <f t="shared" si="3"/>
        <v>14</v>
      </c>
    </row>
    <row r="32" spans="1:25">
      <c r="A32" s="3" t="s">
        <v>24</v>
      </c>
      <c r="B32" s="3">
        <f t="shared" si="2"/>
        <v>72</v>
      </c>
      <c r="C32" s="3">
        <f t="shared" si="2"/>
        <v>72</v>
      </c>
      <c r="D32" s="3">
        <f t="shared" si="2"/>
        <v>72</v>
      </c>
      <c r="E32" s="3">
        <f t="shared" si="2"/>
        <v>2</v>
      </c>
      <c r="F32" s="3">
        <f t="shared" si="2"/>
        <v>2</v>
      </c>
      <c r="G32" s="3">
        <f t="shared" si="2"/>
        <v>41</v>
      </c>
      <c r="I32" s="3" t="s">
        <v>24</v>
      </c>
      <c r="J32" s="3">
        <f t="shared" si="3"/>
        <v>25</v>
      </c>
      <c r="K32" s="3">
        <f t="shared" si="3"/>
        <v>25</v>
      </c>
      <c r="L32" s="3">
        <f t="shared" si="3"/>
        <v>25</v>
      </c>
      <c r="M32" s="3">
        <f t="shared" si="3"/>
        <v>1</v>
      </c>
      <c r="N32" s="3">
        <f t="shared" si="3"/>
        <v>1</v>
      </c>
      <c r="O32" s="3">
        <f t="shared" si="3"/>
        <v>14</v>
      </c>
    </row>
    <row r="33" spans="1:15">
      <c r="A33" s="3" t="s">
        <v>25</v>
      </c>
      <c r="B33" s="3">
        <f t="shared" si="2"/>
        <v>55</v>
      </c>
      <c r="C33" s="3">
        <f t="shared" si="2"/>
        <v>55</v>
      </c>
      <c r="D33" s="3">
        <f t="shared" si="2"/>
        <v>55</v>
      </c>
      <c r="E33" s="3">
        <f t="shared" si="2"/>
        <v>55</v>
      </c>
      <c r="F33" s="3">
        <f t="shared" si="2"/>
        <v>2</v>
      </c>
      <c r="G33" s="3">
        <f t="shared" si="2"/>
        <v>41</v>
      </c>
      <c r="I33" s="3" t="s">
        <v>25</v>
      </c>
      <c r="J33" s="3">
        <f t="shared" si="3"/>
        <v>19</v>
      </c>
      <c r="K33" s="3">
        <f t="shared" si="3"/>
        <v>19</v>
      </c>
      <c r="L33" s="3">
        <f t="shared" si="3"/>
        <v>19</v>
      </c>
      <c r="M33" s="3">
        <f t="shared" si="3"/>
        <v>19</v>
      </c>
      <c r="N33" s="3">
        <f t="shared" si="3"/>
        <v>1</v>
      </c>
      <c r="O33" s="3">
        <f t="shared" si="3"/>
        <v>14</v>
      </c>
    </row>
    <row r="36" spans="1:15">
      <c r="A36" s="15"/>
      <c r="B36" s="15" t="s">
        <v>36</v>
      </c>
      <c r="C36" s="15" t="s">
        <v>37</v>
      </c>
      <c r="D36" s="15" t="s">
        <v>38</v>
      </c>
      <c r="E36" s="15" t="s">
        <v>39</v>
      </c>
      <c r="F36" s="15" t="s">
        <v>12</v>
      </c>
      <c r="G36" s="15" t="s">
        <v>13</v>
      </c>
      <c r="I36" s="15"/>
      <c r="J36" s="15" t="s">
        <v>36</v>
      </c>
      <c r="K36" s="15" t="s">
        <v>37</v>
      </c>
      <c r="L36" s="15" t="s">
        <v>38</v>
      </c>
      <c r="M36" s="15" t="s">
        <v>39</v>
      </c>
      <c r="N36" s="15" t="s">
        <v>12</v>
      </c>
      <c r="O36" s="15" t="s">
        <v>13</v>
      </c>
    </row>
    <row r="37" spans="1:15">
      <c r="A37" s="3" t="s">
        <v>11</v>
      </c>
      <c r="B37" s="12">
        <f>$F$2</f>
        <v>144</v>
      </c>
      <c r="C37" s="12">
        <f>$F$2</f>
        <v>144</v>
      </c>
      <c r="D37" s="12">
        <f>$F$2</f>
        <v>144</v>
      </c>
      <c r="E37" s="12">
        <f>$F$2</f>
        <v>144</v>
      </c>
      <c r="F37" s="12">
        <f>G37-E37-D37-C37-B37</f>
        <v>744.03022600000008</v>
      </c>
      <c r="G37" s="12">
        <f>$C$3</f>
        <v>1320.0302260000001</v>
      </c>
      <c r="I37" s="3" t="s">
        <v>11</v>
      </c>
      <c r="J37" s="12">
        <f>$F$2</f>
        <v>144</v>
      </c>
      <c r="K37" s="12">
        <f>$F$2</f>
        <v>144</v>
      </c>
      <c r="L37" s="12">
        <f>$F$2</f>
        <v>144</v>
      </c>
      <c r="M37" s="12">
        <f>$F$2</f>
        <v>144</v>
      </c>
      <c r="N37" s="12">
        <f>O37-M37-L37-K37-J37</f>
        <v>744.03022600000008</v>
      </c>
      <c r="O37" s="12">
        <f>$C$3</f>
        <v>1320.0302260000001</v>
      </c>
    </row>
    <row r="38" spans="1:15">
      <c r="A38" s="3" t="s">
        <v>14</v>
      </c>
      <c r="B38" s="12">
        <f>B37*$G$38/$G$37</f>
        <v>258.21226914844902</v>
      </c>
      <c r="C38" s="12">
        <f>C37*$G$38/$G$37</f>
        <v>258.21226914844902</v>
      </c>
      <c r="D38" s="12">
        <f>D37*$G$38/$G$37</f>
        <v>258.21226914844902</v>
      </c>
      <c r="E38" s="12">
        <f>E37*$G$38/$G$37</f>
        <v>258.21226914844902</v>
      </c>
      <c r="F38" s="12">
        <f>F37*$G$38/$G$37</f>
        <v>1334.1509234062039</v>
      </c>
      <c r="G38" s="12">
        <f>Input_CoD!B4</f>
        <v>2367</v>
      </c>
      <c r="I38" s="3" t="s">
        <v>16</v>
      </c>
      <c r="J38" s="12">
        <f>J37*$O$38/$O$37</f>
        <v>89.343408716763733</v>
      </c>
      <c r="K38" s="12">
        <f>K37*$O$38/$O$37</f>
        <v>89.343408716763733</v>
      </c>
      <c r="L38" s="12">
        <f>L37*$O$38/$O$37</f>
        <v>89.343408716763733</v>
      </c>
      <c r="M38" s="12">
        <f>M37*$O$38/$O$37</f>
        <v>89.343408716763733</v>
      </c>
      <c r="N38" s="12">
        <f>N37*$O$38/$O$37</f>
        <v>461.62636513294507</v>
      </c>
      <c r="O38" s="12">
        <v>819</v>
      </c>
    </row>
    <row r="39" spans="1:15">
      <c r="A39" s="3" t="s">
        <v>15</v>
      </c>
      <c r="B39" s="18">
        <f t="shared" ref="B39:G39" si="4">B38/B37</f>
        <v>1.7931407579753404</v>
      </c>
      <c r="C39" s="18">
        <f t="shared" si="4"/>
        <v>1.7931407579753404</v>
      </c>
      <c r="D39" s="18">
        <f t="shared" si="4"/>
        <v>1.7931407579753404</v>
      </c>
      <c r="E39" s="18">
        <f t="shared" si="4"/>
        <v>1.7931407579753404</v>
      </c>
      <c r="F39" s="18">
        <f t="shared" si="4"/>
        <v>1.7931407579753402</v>
      </c>
      <c r="G39" s="18">
        <f t="shared" si="4"/>
        <v>1.7931407579753404</v>
      </c>
      <c r="I39" s="3" t="s">
        <v>17</v>
      </c>
      <c r="J39" s="18">
        <f t="shared" ref="J39:O39" si="5">J38/J37</f>
        <v>0.62044033831085921</v>
      </c>
      <c r="K39" s="18">
        <f t="shared" si="5"/>
        <v>0.62044033831085921</v>
      </c>
      <c r="L39" s="18">
        <f t="shared" si="5"/>
        <v>0.62044033831085921</v>
      </c>
      <c r="M39" s="18">
        <f t="shared" si="5"/>
        <v>0.62044033831085921</v>
      </c>
      <c r="N39" s="18">
        <f t="shared" si="5"/>
        <v>0.62044033831085921</v>
      </c>
      <c r="O39" s="18">
        <f t="shared" si="5"/>
        <v>0.62044033831085921</v>
      </c>
    </row>
    <row r="40" spans="1:15">
      <c r="A40" s="19" t="s">
        <v>20</v>
      </c>
      <c r="B40" s="19"/>
      <c r="C40" s="19"/>
      <c r="D40" s="19"/>
      <c r="E40" s="19"/>
      <c r="F40" s="19"/>
      <c r="G40" s="19"/>
      <c r="I40" s="19" t="s">
        <v>27</v>
      </c>
      <c r="J40" s="19"/>
      <c r="K40" s="19"/>
      <c r="L40" s="19"/>
      <c r="M40" s="19"/>
      <c r="N40" s="19"/>
      <c r="O40" s="19"/>
    </row>
    <row r="41" spans="1:15">
      <c r="A41" s="3" t="s">
        <v>21</v>
      </c>
      <c r="B41" s="20">
        <f>$G41*B$37/$G$37</f>
        <v>4268.411350756448</v>
      </c>
      <c r="C41" s="20">
        <f>$G41*C$37/$G$37</f>
        <v>4268.411350756448</v>
      </c>
      <c r="D41" s="20">
        <f>$G41*D$37/$G$37</f>
        <v>4268.411350756448</v>
      </c>
      <c r="E41" s="20">
        <f>$G41*E$37/$G$37</f>
        <v>4268.411350756448</v>
      </c>
      <c r="F41" s="20">
        <f>$G41*F$37/$G$37</f>
        <v>22054.354596974208</v>
      </c>
      <c r="G41" s="3">
        <v>39128</v>
      </c>
      <c r="I41" s="3" t="s">
        <v>21</v>
      </c>
      <c r="J41" s="20">
        <f>$O41*J$37/$O$37</f>
        <v>345.70117487597588</v>
      </c>
      <c r="K41" s="20">
        <f>$O41*K$37/$O$37</f>
        <v>345.70117487597588</v>
      </c>
      <c r="L41" s="20">
        <f>$O41*L$37/$O$37</f>
        <v>345.70117487597588</v>
      </c>
      <c r="M41" s="20">
        <f>$O41*M$37/$O$37</f>
        <v>345.70117487597588</v>
      </c>
      <c r="N41" s="20">
        <f>$O41*N$37/$O$37</f>
        <v>1786.1953004960965</v>
      </c>
      <c r="O41" s="3">
        <v>3169</v>
      </c>
    </row>
    <row r="42" spans="1:15">
      <c r="A42" s="3" t="s">
        <v>22</v>
      </c>
      <c r="B42" s="12">
        <f>G42-F42-C42-D42-E42</f>
        <v>37019.212269148455</v>
      </c>
      <c r="C42" s="12">
        <f>C38</f>
        <v>258.21226914844902</v>
      </c>
      <c r="D42" s="12">
        <f>D38</f>
        <v>258.21226914844902</v>
      </c>
      <c r="E42" s="12">
        <f>E38</f>
        <v>258.21226914844902</v>
      </c>
      <c r="F42" s="12">
        <f>F38</f>
        <v>1334.1509234062039</v>
      </c>
      <c r="G42" s="3">
        <v>39128</v>
      </c>
      <c r="I42" s="3" t="s">
        <v>22</v>
      </c>
      <c r="J42" s="12">
        <f>O42-N42-K42-L42-M42</f>
        <v>2439.3434087167634</v>
      </c>
      <c r="K42" s="12">
        <f>K38</f>
        <v>89.343408716763733</v>
      </c>
      <c r="L42" s="12">
        <f>L38</f>
        <v>89.343408716763733</v>
      </c>
      <c r="M42" s="12">
        <f>M38</f>
        <v>89.343408716763733</v>
      </c>
      <c r="N42" s="12">
        <f>N38</f>
        <v>461.62636513294507</v>
      </c>
      <c r="O42" s="3">
        <v>3169</v>
      </c>
    </row>
    <row r="43" spans="1:15">
      <c r="A43" s="3" t="s">
        <v>23</v>
      </c>
      <c r="B43" s="12">
        <f>(G43-D43-E43-F43)/2</f>
        <v>18638.712269148451</v>
      </c>
      <c r="C43" s="12">
        <f>B43</f>
        <v>18638.712269148451</v>
      </c>
      <c r="D43" s="12">
        <f>D38</f>
        <v>258.21226914844902</v>
      </c>
      <c r="E43" s="12">
        <f>E38</f>
        <v>258.21226914844902</v>
      </c>
      <c r="F43" s="12">
        <f>F38</f>
        <v>1334.1509234062039</v>
      </c>
      <c r="G43" s="3">
        <v>39128</v>
      </c>
      <c r="I43" s="3" t="s">
        <v>23</v>
      </c>
      <c r="J43" s="12">
        <f>(O43-L43-M43-N43)/2</f>
        <v>1264.3434087167636</v>
      </c>
      <c r="K43" s="12">
        <f>J43</f>
        <v>1264.3434087167636</v>
      </c>
      <c r="L43" s="12">
        <f>L38</f>
        <v>89.343408716763733</v>
      </c>
      <c r="M43" s="12">
        <f>M38</f>
        <v>89.343408716763733</v>
      </c>
      <c r="N43" s="12">
        <f>N38</f>
        <v>461.62636513294507</v>
      </c>
      <c r="O43" s="3">
        <v>3169</v>
      </c>
    </row>
    <row r="44" spans="1:15">
      <c r="A44" s="3" t="s">
        <v>24</v>
      </c>
      <c r="B44" s="12">
        <f>(G44-E44-F44)/3</f>
        <v>12511.878935815117</v>
      </c>
      <c r="C44" s="12">
        <f>B44</f>
        <v>12511.878935815117</v>
      </c>
      <c r="D44" s="12">
        <f>C44</f>
        <v>12511.878935815117</v>
      </c>
      <c r="E44" s="12">
        <f>E38</f>
        <v>258.21226914844902</v>
      </c>
      <c r="F44" s="12">
        <f>F38</f>
        <v>1334.1509234062039</v>
      </c>
      <c r="G44" s="3">
        <v>39128</v>
      </c>
      <c r="I44" s="3" t="s">
        <v>24</v>
      </c>
      <c r="J44" s="12">
        <f>(O44-M44-N44)/3</f>
        <v>872.676742050097</v>
      </c>
      <c r="K44" s="12">
        <f>J44</f>
        <v>872.676742050097</v>
      </c>
      <c r="L44" s="12">
        <f>K44</f>
        <v>872.676742050097</v>
      </c>
      <c r="M44" s="12">
        <f>M38</f>
        <v>89.343408716763733</v>
      </c>
      <c r="N44" s="12">
        <f>N38</f>
        <v>461.62636513294507</v>
      </c>
      <c r="O44" s="3">
        <v>3169</v>
      </c>
    </row>
    <row r="45" spans="1:15">
      <c r="A45" s="3" t="s">
        <v>25</v>
      </c>
      <c r="B45" s="12">
        <f>(G45-F45)/4</f>
        <v>9448.4622691484492</v>
      </c>
      <c r="C45" s="12">
        <f>B45</f>
        <v>9448.4622691484492</v>
      </c>
      <c r="D45" s="12">
        <f>C45</f>
        <v>9448.4622691484492</v>
      </c>
      <c r="E45" s="12">
        <f>D45</f>
        <v>9448.4622691484492</v>
      </c>
      <c r="F45" s="12">
        <f>F38</f>
        <v>1334.1509234062039</v>
      </c>
      <c r="G45" s="3">
        <v>39128</v>
      </c>
      <c r="I45" s="3" t="s">
        <v>25</v>
      </c>
      <c r="J45" s="12">
        <f>(O45-N45)/4</f>
        <v>676.84340871676375</v>
      </c>
      <c r="K45" s="12">
        <f>J45</f>
        <v>676.84340871676375</v>
      </c>
      <c r="L45" s="12">
        <f>K45</f>
        <v>676.84340871676375</v>
      </c>
      <c r="M45" s="12">
        <f>L45</f>
        <v>676.84340871676375</v>
      </c>
      <c r="N45" s="12">
        <f>N38</f>
        <v>461.62636513294507</v>
      </c>
      <c r="O45" s="3">
        <v>3169</v>
      </c>
    </row>
    <row r="46" spans="1:15">
      <c r="A46" s="19" t="s">
        <v>26</v>
      </c>
      <c r="B46" s="19"/>
      <c r="C46" s="19"/>
      <c r="D46" s="19"/>
      <c r="E46" s="19"/>
      <c r="F46" s="19"/>
      <c r="G46" s="19"/>
      <c r="I46" s="19" t="s">
        <v>28</v>
      </c>
      <c r="J46" s="19"/>
      <c r="K46" s="19"/>
      <c r="L46" s="19"/>
      <c r="M46" s="19"/>
      <c r="N46" s="19"/>
      <c r="O46" s="19"/>
    </row>
    <row r="47" spans="1:15">
      <c r="A47" s="3" t="s">
        <v>21</v>
      </c>
      <c r="B47" s="12">
        <f t="shared" ref="B47:G51" si="6">B41/B$37</f>
        <v>29.641745491364222</v>
      </c>
      <c r="C47" s="12">
        <f t="shared" si="6"/>
        <v>29.641745491364222</v>
      </c>
      <c r="D47" s="12">
        <f t="shared" si="6"/>
        <v>29.641745491364222</v>
      </c>
      <c r="E47" s="12">
        <f t="shared" si="6"/>
        <v>29.641745491364222</v>
      </c>
      <c r="F47" s="12">
        <f t="shared" si="6"/>
        <v>29.641745491364226</v>
      </c>
      <c r="G47" s="12">
        <f t="shared" si="6"/>
        <v>29.641745491364222</v>
      </c>
      <c r="I47" s="3" t="s">
        <v>21</v>
      </c>
      <c r="J47" s="12">
        <f t="shared" ref="J47:O51" si="7">J41/J$37</f>
        <v>2.4007026033053882</v>
      </c>
      <c r="K47" s="12">
        <f t="shared" si="7"/>
        <v>2.4007026033053882</v>
      </c>
      <c r="L47" s="12">
        <f t="shared" si="7"/>
        <v>2.4007026033053882</v>
      </c>
      <c r="M47" s="12">
        <f t="shared" si="7"/>
        <v>2.4007026033053882</v>
      </c>
      <c r="N47" s="12">
        <f t="shared" si="7"/>
        <v>2.4007026033053882</v>
      </c>
      <c r="O47" s="12">
        <f t="shared" si="7"/>
        <v>2.4007026033053882</v>
      </c>
    </row>
    <row r="48" spans="1:15">
      <c r="A48" s="3" t="s">
        <v>22</v>
      </c>
      <c r="B48" s="12">
        <f t="shared" si="6"/>
        <v>257.07786298019761</v>
      </c>
      <c r="C48" s="12">
        <f t="shared" si="6"/>
        <v>1.7931407579753404</v>
      </c>
      <c r="D48" s="12">
        <f t="shared" si="6"/>
        <v>1.7931407579753404</v>
      </c>
      <c r="E48" s="12">
        <f t="shared" si="6"/>
        <v>1.7931407579753404</v>
      </c>
      <c r="F48" s="12">
        <f t="shared" si="6"/>
        <v>1.7931407579753402</v>
      </c>
      <c r="G48" s="12">
        <f t="shared" si="6"/>
        <v>29.641745491364222</v>
      </c>
      <c r="I48" s="3" t="s">
        <v>22</v>
      </c>
      <c r="J48" s="12">
        <f t="shared" si="7"/>
        <v>16.9398847827553</v>
      </c>
      <c r="K48" s="12">
        <f t="shared" si="7"/>
        <v>0.62044033831085921</v>
      </c>
      <c r="L48" s="12">
        <f t="shared" si="7"/>
        <v>0.62044033831085921</v>
      </c>
      <c r="M48" s="12">
        <f t="shared" si="7"/>
        <v>0.62044033831085921</v>
      </c>
      <c r="N48" s="12">
        <f t="shared" si="7"/>
        <v>0.62044033831085921</v>
      </c>
      <c r="O48" s="12">
        <f t="shared" si="7"/>
        <v>2.4007026033053882</v>
      </c>
    </row>
    <row r="49" spans="1:15">
      <c r="A49" s="3" t="s">
        <v>23</v>
      </c>
      <c r="B49" s="12">
        <f t="shared" si="6"/>
        <v>129.43550186908647</v>
      </c>
      <c r="C49" s="12">
        <f t="shared" si="6"/>
        <v>129.43550186908647</v>
      </c>
      <c r="D49" s="12">
        <f t="shared" si="6"/>
        <v>1.7931407579753404</v>
      </c>
      <c r="E49" s="12">
        <f t="shared" si="6"/>
        <v>1.7931407579753404</v>
      </c>
      <c r="F49" s="12">
        <f t="shared" si="6"/>
        <v>1.7931407579753402</v>
      </c>
      <c r="G49" s="12">
        <f t="shared" si="6"/>
        <v>29.641745491364222</v>
      </c>
      <c r="I49" s="3" t="s">
        <v>23</v>
      </c>
      <c r="J49" s="12">
        <f t="shared" si="7"/>
        <v>8.7801625605330802</v>
      </c>
      <c r="K49" s="12">
        <f t="shared" si="7"/>
        <v>8.7801625605330802</v>
      </c>
      <c r="L49" s="12">
        <f t="shared" si="7"/>
        <v>0.62044033831085921</v>
      </c>
      <c r="M49" s="12">
        <f t="shared" si="7"/>
        <v>0.62044033831085921</v>
      </c>
      <c r="N49" s="12">
        <f t="shared" si="7"/>
        <v>0.62044033831085921</v>
      </c>
      <c r="O49" s="12">
        <f t="shared" si="7"/>
        <v>2.4007026033053882</v>
      </c>
    </row>
    <row r="50" spans="1:15">
      <c r="A50" s="3" t="s">
        <v>24</v>
      </c>
      <c r="B50" s="12">
        <f t="shared" si="6"/>
        <v>86.888048165382756</v>
      </c>
      <c r="C50" s="12">
        <f t="shared" si="6"/>
        <v>86.888048165382756</v>
      </c>
      <c r="D50" s="12">
        <f t="shared" si="6"/>
        <v>86.888048165382756</v>
      </c>
      <c r="E50" s="12">
        <f t="shared" si="6"/>
        <v>1.7931407579753404</v>
      </c>
      <c r="F50" s="12">
        <f t="shared" si="6"/>
        <v>1.7931407579753402</v>
      </c>
      <c r="G50" s="12">
        <f t="shared" si="6"/>
        <v>29.641745491364222</v>
      </c>
      <c r="I50" s="3" t="s">
        <v>24</v>
      </c>
      <c r="J50" s="12">
        <f t="shared" si="7"/>
        <v>6.0602551531256736</v>
      </c>
      <c r="K50" s="12">
        <f t="shared" si="7"/>
        <v>6.0602551531256736</v>
      </c>
      <c r="L50" s="12">
        <f t="shared" si="7"/>
        <v>6.0602551531256736</v>
      </c>
      <c r="M50" s="12">
        <f t="shared" si="7"/>
        <v>0.62044033831085921</v>
      </c>
      <c r="N50" s="12">
        <f t="shared" si="7"/>
        <v>0.62044033831085921</v>
      </c>
      <c r="O50" s="12">
        <f t="shared" si="7"/>
        <v>2.4007026033053882</v>
      </c>
    </row>
    <row r="51" spans="1:15">
      <c r="A51" s="3" t="s">
        <v>25</v>
      </c>
      <c r="B51" s="12">
        <f t="shared" si="6"/>
        <v>65.614321313530894</v>
      </c>
      <c r="C51" s="12">
        <f t="shared" si="6"/>
        <v>65.614321313530894</v>
      </c>
      <c r="D51" s="12">
        <f t="shared" si="6"/>
        <v>65.614321313530894</v>
      </c>
      <c r="E51" s="12">
        <f t="shared" si="6"/>
        <v>65.614321313530894</v>
      </c>
      <c r="F51" s="12">
        <f t="shared" si="6"/>
        <v>1.7931407579753402</v>
      </c>
      <c r="G51" s="12">
        <f t="shared" si="6"/>
        <v>29.641745491364222</v>
      </c>
      <c r="I51" s="3" t="s">
        <v>25</v>
      </c>
      <c r="J51" s="12">
        <f t="shared" si="7"/>
        <v>4.7003014494219704</v>
      </c>
      <c r="K51" s="12">
        <f t="shared" si="7"/>
        <v>4.7003014494219704</v>
      </c>
      <c r="L51" s="12">
        <f t="shared" si="7"/>
        <v>4.7003014494219704</v>
      </c>
      <c r="M51" s="12">
        <f t="shared" si="7"/>
        <v>4.7003014494219704</v>
      </c>
      <c r="N51" s="12">
        <f t="shared" si="7"/>
        <v>0.62044033831085921</v>
      </c>
      <c r="O51" s="12">
        <f t="shared" si="7"/>
        <v>2.4007026033053882</v>
      </c>
    </row>
    <row r="54" spans="1:15">
      <c r="A54" s="15"/>
      <c r="B54" s="15" t="s">
        <v>41</v>
      </c>
      <c r="C54" s="15" t="s">
        <v>42</v>
      </c>
      <c r="D54" s="15" t="s">
        <v>43</v>
      </c>
      <c r="E54" s="15" t="s">
        <v>44</v>
      </c>
      <c r="F54" s="15" t="s">
        <v>12</v>
      </c>
      <c r="G54" s="15" t="s">
        <v>13</v>
      </c>
      <c r="I54" s="15"/>
      <c r="J54" s="15" t="s">
        <v>41</v>
      </c>
      <c r="K54" s="15" t="s">
        <v>42</v>
      </c>
      <c r="L54" s="15" t="s">
        <v>43</v>
      </c>
      <c r="M54" s="15" t="s">
        <v>44</v>
      </c>
      <c r="N54" s="15" t="s">
        <v>12</v>
      </c>
      <c r="O54" s="15" t="s">
        <v>13</v>
      </c>
    </row>
    <row r="55" spans="1:15">
      <c r="A55" s="3" t="s">
        <v>11</v>
      </c>
      <c r="B55" s="12">
        <f>$F$2</f>
        <v>144</v>
      </c>
      <c r="C55" s="12">
        <f>$F$2</f>
        <v>144</v>
      </c>
      <c r="D55" s="12">
        <f>$F$2</f>
        <v>144</v>
      </c>
      <c r="E55" s="12">
        <f>$F$2</f>
        <v>144</v>
      </c>
      <c r="F55" s="12">
        <f>G55-E55-D55-C55-B55</f>
        <v>60.540412500000002</v>
      </c>
      <c r="G55" s="12">
        <f>$C$4</f>
        <v>636.5404125</v>
      </c>
      <c r="I55" s="3" t="s">
        <v>11</v>
      </c>
      <c r="J55" s="12">
        <f>$F$2</f>
        <v>144</v>
      </c>
      <c r="K55" s="12">
        <f>$F$2</f>
        <v>144</v>
      </c>
      <c r="L55" s="12">
        <f>$F$2</f>
        <v>144</v>
      </c>
      <c r="M55" s="12">
        <f>$F$2</f>
        <v>144</v>
      </c>
      <c r="N55" s="12">
        <f>O55-M55-L55-K55-J55</f>
        <v>60.540412500000002</v>
      </c>
      <c r="O55" s="12">
        <f>$C$4</f>
        <v>636.5404125</v>
      </c>
    </row>
    <row r="56" spans="1:15">
      <c r="A56" s="3" t="s">
        <v>14</v>
      </c>
      <c r="B56" s="12">
        <f>B55*$G$56/$G$55</f>
        <v>308.34177397966857</v>
      </c>
      <c r="C56" s="12">
        <f>C55*$G$56/$G$55</f>
        <v>308.34177397966857</v>
      </c>
      <c r="D56" s="12">
        <f>D55*$G$56/$G$55</f>
        <v>308.34177397966857</v>
      </c>
      <c r="E56" s="12">
        <f>E55*$G$56/$G$55</f>
        <v>308.34177397966857</v>
      </c>
      <c r="F56" s="12">
        <f>F55*$G$56/$G$55</f>
        <v>129.63290408132571</v>
      </c>
      <c r="G56" s="12">
        <v>1363</v>
      </c>
      <c r="I56" s="3" t="s">
        <v>16</v>
      </c>
      <c r="J56" s="12">
        <f>J55*$O$56/$O$55</f>
        <v>186.40764619167052</v>
      </c>
      <c r="K56" s="12">
        <f>K55*$O$56/$O$55</f>
        <v>186.40764619167052</v>
      </c>
      <c r="L56" s="12">
        <f>L55*$O$56/$O$55</f>
        <v>186.40764619167052</v>
      </c>
      <c r="M56" s="12">
        <f>M55*$O$56/$O$55</f>
        <v>186.40764619167052</v>
      </c>
      <c r="N56" s="12">
        <f>N55*$O$56/$O$55</f>
        <v>78.369415233317966</v>
      </c>
      <c r="O56" s="12">
        <v>824</v>
      </c>
    </row>
    <row r="57" spans="1:15">
      <c r="A57" s="3" t="s">
        <v>15</v>
      </c>
      <c r="B57" s="18">
        <f t="shared" ref="B57:G57" si="8">B56/B55</f>
        <v>2.1412623193032538</v>
      </c>
      <c r="C57" s="18">
        <f t="shared" si="8"/>
        <v>2.1412623193032538</v>
      </c>
      <c r="D57" s="18">
        <f t="shared" si="8"/>
        <v>2.1412623193032538</v>
      </c>
      <c r="E57" s="18">
        <f t="shared" si="8"/>
        <v>2.1412623193032538</v>
      </c>
      <c r="F57" s="18">
        <f t="shared" si="8"/>
        <v>2.1412623193032538</v>
      </c>
      <c r="G57" s="18">
        <f t="shared" si="8"/>
        <v>2.1412623193032538</v>
      </c>
      <c r="I57" s="3" t="s">
        <v>17</v>
      </c>
      <c r="J57" s="18">
        <f t="shared" ref="J57:O57" si="9">J56/J55</f>
        <v>1.2944975429977119</v>
      </c>
      <c r="K57" s="18">
        <f t="shared" si="9"/>
        <v>1.2944975429977119</v>
      </c>
      <c r="L57" s="18">
        <f t="shared" si="9"/>
        <v>1.2944975429977119</v>
      </c>
      <c r="M57" s="18">
        <f t="shared" si="9"/>
        <v>1.2944975429977119</v>
      </c>
      <c r="N57" s="18">
        <f t="shared" si="9"/>
        <v>1.2944975429977119</v>
      </c>
      <c r="O57" s="18">
        <f t="shared" si="9"/>
        <v>1.2944975429977119</v>
      </c>
    </row>
    <row r="58" spans="1:15">
      <c r="A58" s="19" t="s">
        <v>20</v>
      </c>
      <c r="B58" s="19"/>
      <c r="C58" s="19"/>
      <c r="D58" s="19"/>
      <c r="E58" s="19"/>
      <c r="F58" s="19"/>
      <c r="G58" s="19"/>
      <c r="I58" s="19" t="s">
        <v>27</v>
      </c>
      <c r="J58" s="19"/>
      <c r="K58" s="19"/>
      <c r="L58" s="19"/>
      <c r="M58" s="19"/>
      <c r="N58" s="19"/>
      <c r="O58" s="19"/>
    </row>
    <row r="59" spans="1:15">
      <c r="A59" s="3" t="s">
        <v>21</v>
      </c>
      <c r="B59" s="20">
        <f>$G59*B$55/$G$55</f>
        <v>2355.8849847573501</v>
      </c>
      <c r="C59" s="20">
        <f>$G59*C$55/$G$55</f>
        <v>2355.8849847573501</v>
      </c>
      <c r="D59" s="20">
        <f>$G59*D$55/$G$55</f>
        <v>2355.8849847573501</v>
      </c>
      <c r="E59" s="20">
        <f>$G59*E$55/$G$55</f>
        <v>2355.8849847573501</v>
      </c>
      <c r="F59" s="20">
        <f>$G59*F$55/$G$55</f>
        <v>990.46006097059876</v>
      </c>
      <c r="G59" s="3">
        <v>10414</v>
      </c>
      <c r="I59" s="3" t="s">
        <v>21</v>
      </c>
      <c r="J59" s="20">
        <f>$O59*J$55/$O$55</f>
        <v>1420.9058564683039</v>
      </c>
      <c r="K59" s="20">
        <f>$O59*K$55/$O$55</f>
        <v>1420.9058564683039</v>
      </c>
      <c r="L59" s="20">
        <f>$O59*L$55/$O$55</f>
        <v>1420.9058564683039</v>
      </c>
      <c r="M59" s="20">
        <f>$O59*M$55/$O$55</f>
        <v>1420.9058564683039</v>
      </c>
      <c r="N59" s="20">
        <f>$O59*N$55/$O$55</f>
        <v>597.37657412678413</v>
      </c>
      <c r="O59" s="3">
        <v>6281</v>
      </c>
    </row>
    <row r="60" spans="1:15">
      <c r="A60" s="3" t="s">
        <v>22</v>
      </c>
      <c r="B60" s="12">
        <f>G60-F60-C60-D60-E60</f>
        <v>9359.3417739796714</v>
      </c>
      <c r="C60" s="12">
        <f>C56</f>
        <v>308.34177397966857</v>
      </c>
      <c r="D60" s="12">
        <f>D56</f>
        <v>308.34177397966857</v>
      </c>
      <c r="E60" s="12">
        <f>E56</f>
        <v>308.34177397966857</v>
      </c>
      <c r="F60" s="12">
        <f>F56</f>
        <v>129.63290408132571</v>
      </c>
      <c r="G60" s="3">
        <v>10414</v>
      </c>
      <c r="I60" s="3" t="s">
        <v>22</v>
      </c>
      <c r="J60" s="12">
        <f>O60-N60-K60-L60-M60</f>
        <v>5643.4076461916711</v>
      </c>
      <c r="K60" s="12">
        <f>K56</f>
        <v>186.40764619167052</v>
      </c>
      <c r="L60" s="12">
        <f>L56</f>
        <v>186.40764619167052</v>
      </c>
      <c r="M60" s="12">
        <f>M56</f>
        <v>186.40764619167052</v>
      </c>
      <c r="N60" s="12">
        <f>N56</f>
        <v>78.369415233317966</v>
      </c>
      <c r="O60" s="3">
        <v>6281</v>
      </c>
    </row>
    <row r="61" spans="1:15">
      <c r="A61" s="3" t="s">
        <v>23</v>
      </c>
      <c r="B61" s="12">
        <f>(G61-D61-E61-F61)/2</f>
        <v>4833.8417739796696</v>
      </c>
      <c r="C61" s="12">
        <f>B61</f>
        <v>4833.8417739796696</v>
      </c>
      <c r="D61" s="12">
        <f>D56</f>
        <v>308.34177397966857</v>
      </c>
      <c r="E61" s="12">
        <f>E56</f>
        <v>308.34177397966857</v>
      </c>
      <c r="F61" s="12">
        <f>F56</f>
        <v>129.63290408132571</v>
      </c>
      <c r="G61" s="3">
        <v>10414</v>
      </c>
      <c r="I61" s="3" t="s">
        <v>23</v>
      </c>
      <c r="J61" s="12">
        <f>(O61-L61-M61-N61)/2</f>
        <v>2914.9076461916707</v>
      </c>
      <c r="K61" s="12">
        <f>J61</f>
        <v>2914.9076461916707</v>
      </c>
      <c r="L61" s="12">
        <f>L56</f>
        <v>186.40764619167052</v>
      </c>
      <c r="M61" s="12">
        <f>M56</f>
        <v>186.40764619167052</v>
      </c>
      <c r="N61" s="12">
        <f>N56</f>
        <v>78.369415233317966</v>
      </c>
      <c r="O61" s="3">
        <v>6281</v>
      </c>
    </row>
    <row r="62" spans="1:15">
      <c r="A62" s="3" t="s">
        <v>24</v>
      </c>
      <c r="B62" s="12">
        <f>(G62-E62-F62)/3</f>
        <v>3325.3417739796691</v>
      </c>
      <c r="C62" s="12">
        <f>B62</f>
        <v>3325.3417739796691</v>
      </c>
      <c r="D62" s="12">
        <f>C62</f>
        <v>3325.3417739796691</v>
      </c>
      <c r="E62" s="12">
        <f>E56</f>
        <v>308.34177397966857</v>
      </c>
      <c r="F62" s="12">
        <f>F56</f>
        <v>129.63290408132571</v>
      </c>
      <c r="G62" s="3">
        <v>10414</v>
      </c>
      <c r="I62" s="3" t="s">
        <v>24</v>
      </c>
      <c r="J62" s="12">
        <f>(O62-M62-N62)/3</f>
        <v>2005.4076461916704</v>
      </c>
      <c r="K62" s="12">
        <f>J62</f>
        <v>2005.4076461916704</v>
      </c>
      <c r="L62" s="12">
        <f>K62</f>
        <v>2005.4076461916704</v>
      </c>
      <c r="M62" s="12">
        <f>M56</f>
        <v>186.40764619167052</v>
      </c>
      <c r="N62" s="12">
        <f>N56</f>
        <v>78.369415233317966</v>
      </c>
      <c r="O62" s="3">
        <v>6281</v>
      </c>
    </row>
    <row r="63" spans="1:15">
      <c r="A63" s="3" t="s">
        <v>25</v>
      </c>
      <c r="B63" s="12">
        <f>(G63-F63)/4</f>
        <v>2571.0917739796687</v>
      </c>
      <c r="C63" s="12">
        <f>B63</f>
        <v>2571.0917739796687</v>
      </c>
      <c r="D63" s="12">
        <f>C63</f>
        <v>2571.0917739796687</v>
      </c>
      <c r="E63" s="12">
        <f>D63</f>
        <v>2571.0917739796687</v>
      </c>
      <c r="F63" s="12">
        <f>F56</f>
        <v>129.63290408132571</v>
      </c>
      <c r="G63" s="3">
        <v>10414</v>
      </c>
      <c r="I63" s="3" t="s">
        <v>25</v>
      </c>
      <c r="J63" s="12">
        <f>(O63-N63)/4</f>
        <v>1550.6576461916704</v>
      </c>
      <c r="K63" s="12">
        <f>J63</f>
        <v>1550.6576461916704</v>
      </c>
      <c r="L63" s="12">
        <f>K63</f>
        <v>1550.6576461916704</v>
      </c>
      <c r="M63" s="12">
        <f>L63</f>
        <v>1550.6576461916704</v>
      </c>
      <c r="N63" s="12">
        <f>N56</f>
        <v>78.369415233317966</v>
      </c>
      <c r="O63" s="3">
        <v>6281</v>
      </c>
    </row>
    <row r="64" spans="1:15">
      <c r="A64" s="19" t="s">
        <v>26</v>
      </c>
      <c r="B64" s="19"/>
      <c r="C64" s="19"/>
      <c r="D64" s="19"/>
      <c r="E64" s="19"/>
      <c r="F64" s="19"/>
      <c r="G64" s="19"/>
      <c r="I64" s="19" t="s">
        <v>28</v>
      </c>
      <c r="J64" s="19"/>
      <c r="K64" s="19"/>
      <c r="L64" s="19"/>
      <c r="M64" s="19"/>
      <c r="N64" s="19"/>
      <c r="O64" s="19"/>
    </row>
    <row r="65" spans="1:15">
      <c r="A65" s="3" t="s">
        <v>21</v>
      </c>
      <c r="B65" s="12">
        <f t="shared" ref="B65:G69" si="10">B59/B$55</f>
        <v>16.360312394148266</v>
      </c>
      <c r="C65" s="12">
        <f t="shared" si="10"/>
        <v>16.360312394148266</v>
      </c>
      <c r="D65" s="12">
        <f t="shared" si="10"/>
        <v>16.360312394148266</v>
      </c>
      <c r="E65" s="12">
        <f t="shared" si="10"/>
        <v>16.360312394148266</v>
      </c>
      <c r="F65" s="12">
        <f t="shared" si="10"/>
        <v>16.360312394148266</v>
      </c>
      <c r="G65" s="12">
        <f t="shared" si="10"/>
        <v>16.360312394148266</v>
      </c>
      <c r="I65" s="3" t="s">
        <v>21</v>
      </c>
      <c r="J65" s="12">
        <f t="shared" ref="J65:O69" si="11">J59/J$55</f>
        <v>9.8674017810298889</v>
      </c>
      <c r="K65" s="12">
        <f t="shared" si="11"/>
        <v>9.8674017810298889</v>
      </c>
      <c r="L65" s="12">
        <f t="shared" si="11"/>
        <v>9.8674017810298889</v>
      </c>
      <c r="M65" s="12">
        <f t="shared" si="11"/>
        <v>9.8674017810298889</v>
      </c>
      <c r="N65" s="12">
        <f t="shared" si="11"/>
        <v>9.8674017810298889</v>
      </c>
      <c r="O65" s="12">
        <f t="shared" si="11"/>
        <v>9.8674017810298889</v>
      </c>
    </row>
    <row r="66" spans="1:15">
      <c r="A66" s="3" t="s">
        <v>22</v>
      </c>
      <c r="B66" s="12">
        <f t="shared" si="10"/>
        <v>64.995428985969937</v>
      </c>
      <c r="C66" s="12">
        <f t="shared" si="10"/>
        <v>2.1412623193032538</v>
      </c>
      <c r="D66" s="12">
        <f t="shared" si="10"/>
        <v>2.1412623193032538</v>
      </c>
      <c r="E66" s="12">
        <f t="shared" si="10"/>
        <v>2.1412623193032538</v>
      </c>
      <c r="F66" s="12">
        <f t="shared" si="10"/>
        <v>2.1412623193032538</v>
      </c>
      <c r="G66" s="12">
        <f t="shared" si="10"/>
        <v>16.360312394148266</v>
      </c>
      <c r="I66" s="3" t="s">
        <v>22</v>
      </c>
      <c r="J66" s="12">
        <f t="shared" si="11"/>
        <v>39.190330876331046</v>
      </c>
      <c r="K66" s="12">
        <f t="shared" si="11"/>
        <v>1.2944975429977119</v>
      </c>
      <c r="L66" s="12">
        <f t="shared" si="11"/>
        <v>1.2944975429977119</v>
      </c>
      <c r="M66" s="12">
        <f t="shared" si="11"/>
        <v>1.2944975429977119</v>
      </c>
      <c r="N66" s="12">
        <f t="shared" si="11"/>
        <v>1.2944975429977119</v>
      </c>
      <c r="O66" s="12">
        <f t="shared" si="11"/>
        <v>9.8674017810298889</v>
      </c>
    </row>
    <row r="67" spans="1:15">
      <c r="A67" s="3" t="s">
        <v>23</v>
      </c>
      <c r="B67" s="12">
        <f t="shared" si="10"/>
        <v>33.568345652636594</v>
      </c>
      <c r="C67" s="12">
        <f t="shared" si="10"/>
        <v>33.568345652636594</v>
      </c>
      <c r="D67" s="12">
        <f t="shared" si="10"/>
        <v>2.1412623193032538</v>
      </c>
      <c r="E67" s="12">
        <f t="shared" si="10"/>
        <v>2.1412623193032538</v>
      </c>
      <c r="F67" s="12">
        <f t="shared" si="10"/>
        <v>2.1412623193032538</v>
      </c>
      <c r="G67" s="12">
        <f t="shared" si="10"/>
        <v>16.360312394148266</v>
      </c>
      <c r="I67" s="3" t="s">
        <v>23</v>
      </c>
      <c r="J67" s="12">
        <f t="shared" si="11"/>
        <v>20.242414209664378</v>
      </c>
      <c r="K67" s="12">
        <f t="shared" si="11"/>
        <v>20.242414209664378</v>
      </c>
      <c r="L67" s="12">
        <f t="shared" si="11"/>
        <v>1.2944975429977119</v>
      </c>
      <c r="M67" s="12">
        <f t="shared" si="11"/>
        <v>1.2944975429977119</v>
      </c>
      <c r="N67" s="12">
        <f t="shared" si="11"/>
        <v>1.2944975429977119</v>
      </c>
      <c r="O67" s="12">
        <f t="shared" si="11"/>
        <v>9.8674017810298889</v>
      </c>
    </row>
    <row r="68" spans="1:15">
      <c r="A68" s="3" t="s">
        <v>24</v>
      </c>
      <c r="B68" s="12">
        <f t="shared" si="10"/>
        <v>23.092651208192148</v>
      </c>
      <c r="C68" s="12">
        <f t="shared" si="10"/>
        <v>23.092651208192148</v>
      </c>
      <c r="D68" s="12">
        <f t="shared" si="10"/>
        <v>23.092651208192148</v>
      </c>
      <c r="E68" s="12">
        <f t="shared" si="10"/>
        <v>2.1412623193032538</v>
      </c>
      <c r="F68" s="12">
        <f t="shared" si="10"/>
        <v>2.1412623193032538</v>
      </c>
      <c r="G68" s="12">
        <f t="shared" si="10"/>
        <v>16.360312394148266</v>
      </c>
      <c r="I68" s="3" t="s">
        <v>24</v>
      </c>
      <c r="J68" s="12">
        <f t="shared" si="11"/>
        <v>13.926441987442155</v>
      </c>
      <c r="K68" s="12">
        <f t="shared" si="11"/>
        <v>13.926441987442155</v>
      </c>
      <c r="L68" s="12">
        <f t="shared" si="11"/>
        <v>13.926441987442155</v>
      </c>
      <c r="M68" s="12">
        <f t="shared" si="11"/>
        <v>1.2944975429977119</v>
      </c>
      <c r="N68" s="12">
        <f t="shared" si="11"/>
        <v>1.2944975429977119</v>
      </c>
      <c r="O68" s="12">
        <f t="shared" si="11"/>
        <v>9.8674017810298889</v>
      </c>
    </row>
    <row r="69" spans="1:15">
      <c r="A69" s="3" t="s">
        <v>25</v>
      </c>
      <c r="B69" s="12">
        <f t="shared" si="10"/>
        <v>17.854803985969923</v>
      </c>
      <c r="C69" s="12">
        <f t="shared" si="10"/>
        <v>17.854803985969923</v>
      </c>
      <c r="D69" s="12">
        <f t="shared" si="10"/>
        <v>17.854803985969923</v>
      </c>
      <c r="E69" s="12">
        <f t="shared" si="10"/>
        <v>17.854803985969923</v>
      </c>
      <c r="F69" s="12">
        <f t="shared" si="10"/>
        <v>2.1412623193032538</v>
      </c>
      <c r="G69" s="12">
        <f t="shared" si="10"/>
        <v>16.360312394148266</v>
      </c>
      <c r="I69" s="3" t="s">
        <v>25</v>
      </c>
      <c r="J69" s="12">
        <f t="shared" si="11"/>
        <v>10.768455876331045</v>
      </c>
      <c r="K69" s="12">
        <f t="shared" si="11"/>
        <v>10.768455876331045</v>
      </c>
      <c r="L69" s="12">
        <f t="shared" si="11"/>
        <v>10.768455876331045</v>
      </c>
      <c r="M69" s="12">
        <f t="shared" si="11"/>
        <v>10.768455876331045</v>
      </c>
      <c r="N69" s="12">
        <f t="shared" si="11"/>
        <v>1.2944975429977119</v>
      </c>
      <c r="O69" s="12">
        <f t="shared" si="11"/>
        <v>9.8674017810298889</v>
      </c>
    </row>
  </sheetData>
  <mergeCells count="3">
    <mergeCell ref="B8:D8"/>
    <mergeCell ref="E8:G8"/>
    <mergeCell ref="H8:J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B49-8D7F-4B18-8B90-9C263D7A33E4}">
  <dimension ref="A1:E19"/>
  <sheetViews>
    <sheetView workbookViewId="0">
      <selection activeCell="H42" sqref="H42"/>
    </sheetView>
  </sheetViews>
  <sheetFormatPr baseColWidth="10" defaultColWidth="8.83203125" defaultRowHeight="16"/>
  <cols>
    <col min="1" max="1" width="27.33203125" bestFit="1" customWidth="1"/>
    <col min="2" max="3" width="8.83203125" bestFit="1" customWidth="1"/>
    <col min="4" max="5" width="9.5" bestFit="1" customWidth="1"/>
  </cols>
  <sheetData>
    <row r="1" spans="1:5">
      <c r="A1" s="10" t="s">
        <v>40</v>
      </c>
    </row>
    <row r="2" spans="1:5">
      <c r="A2" t="s">
        <v>0</v>
      </c>
      <c r="B2" t="s">
        <v>6</v>
      </c>
      <c r="C2" s="1" t="s">
        <v>1</v>
      </c>
      <c r="D2" t="s">
        <v>7</v>
      </c>
      <c r="E2" t="s">
        <v>2</v>
      </c>
    </row>
    <row r="3" spans="1:5">
      <c r="A3" t="s">
        <v>3</v>
      </c>
      <c r="B3">
        <v>1312</v>
      </c>
      <c r="C3">
        <v>31562</v>
      </c>
      <c r="D3">
        <v>408</v>
      </c>
      <c r="E3">
        <v>11003</v>
      </c>
    </row>
    <row r="4" spans="1:5">
      <c r="A4" t="s">
        <v>5</v>
      </c>
      <c r="B4">
        <v>2367</v>
      </c>
      <c r="C4">
        <v>39128</v>
      </c>
      <c r="D4">
        <v>819</v>
      </c>
      <c r="E4">
        <v>3169</v>
      </c>
    </row>
    <row r="5" spans="1:5">
      <c r="A5" t="s">
        <v>4</v>
      </c>
      <c r="B5">
        <v>1363</v>
      </c>
      <c r="C5">
        <v>651</v>
      </c>
      <c r="D5">
        <v>823</v>
      </c>
      <c r="E5">
        <v>6281</v>
      </c>
    </row>
    <row r="7" spans="1:5">
      <c r="A7" s="10" t="s">
        <v>34</v>
      </c>
    </row>
    <row r="8" spans="1:5">
      <c r="B8" s="37" t="s">
        <v>32</v>
      </c>
      <c r="C8" s="37"/>
      <c r="D8" s="37" t="s">
        <v>33</v>
      </c>
      <c r="E8" s="37"/>
    </row>
    <row r="9" spans="1:5">
      <c r="A9" s="2" t="s">
        <v>31</v>
      </c>
      <c r="B9" s="2">
        <v>2016</v>
      </c>
      <c r="C9" s="2">
        <v>2056</v>
      </c>
      <c r="D9" s="2">
        <v>2016</v>
      </c>
      <c r="E9" s="2">
        <v>2056</v>
      </c>
    </row>
    <row r="10" spans="1:5">
      <c r="A10" s="4" t="s">
        <v>3</v>
      </c>
      <c r="B10" s="5">
        <v>1312.0160000000001</v>
      </c>
      <c r="C10" s="8">
        <v>31495.818687210405</v>
      </c>
      <c r="D10" s="5">
        <v>407.27753220999995</v>
      </c>
      <c r="E10" s="8">
        <v>10702.483546759144</v>
      </c>
    </row>
    <row r="11" spans="1:5">
      <c r="A11" s="4" t="s">
        <v>5</v>
      </c>
      <c r="B11" s="5">
        <v>2367.0299999999997</v>
      </c>
      <c r="C11" s="8">
        <v>30322.532201012582</v>
      </c>
      <c r="D11" s="5">
        <v>819.37978209199991</v>
      </c>
      <c r="E11" s="8">
        <v>3131.5128242973988</v>
      </c>
    </row>
    <row r="12" spans="1:5">
      <c r="A12" s="6" t="s">
        <v>4</v>
      </c>
      <c r="B12" s="7">
        <v>1362.6538624999998</v>
      </c>
      <c r="C12" s="9">
        <v>10414.099387122702</v>
      </c>
      <c r="D12" s="7">
        <v>823.910578558</v>
      </c>
      <c r="E12" s="9">
        <v>6224.5191679784821</v>
      </c>
    </row>
    <row r="13" spans="1:5">
      <c r="A13" s="6"/>
      <c r="B13" s="7"/>
      <c r="C13" s="11"/>
      <c r="D13" s="11"/>
      <c r="E13" s="11"/>
    </row>
    <row r="14" spans="1:5">
      <c r="A14" s="10" t="s">
        <v>35</v>
      </c>
      <c r="B14" s="7"/>
      <c r="C14" s="11"/>
      <c r="D14" s="11"/>
      <c r="E14" s="11"/>
    </row>
    <row r="15" spans="1:5">
      <c r="B15" s="37" t="s">
        <v>32</v>
      </c>
      <c r="C15" s="37"/>
      <c r="D15" s="37" t="s">
        <v>33</v>
      </c>
      <c r="E15" s="37"/>
    </row>
    <row r="16" spans="1:5">
      <c r="A16" s="2" t="s">
        <v>31</v>
      </c>
      <c r="B16" s="2">
        <v>2016</v>
      </c>
      <c r="C16" s="2">
        <v>2056</v>
      </c>
      <c r="D16" s="2">
        <v>2016</v>
      </c>
      <c r="E16" s="2">
        <v>2056</v>
      </c>
    </row>
    <row r="17" spans="1:5">
      <c r="A17" s="4" t="s">
        <v>3</v>
      </c>
      <c r="B17" s="5">
        <v>1312.0160000000001</v>
      </c>
      <c r="C17" s="8">
        <v>31825.742474404215</v>
      </c>
      <c r="D17" s="5">
        <v>407.27753220999995</v>
      </c>
      <c r="E17" s="8">
        <v>9218.4322912625175</v>
      </c>
    </row>
    <row r="18" spans="1:5">
      <c r="A18" s="4" t="s">
        <v>5</v>
      </c>
      <c r="B18" s="5">
        <v>2367.0299999999997</v>
      </c>
      <c r="C18" s="8">
        <v>22449.600883278101</v>
      </c>
      <c r="D18" s="5">
        <v>819.37978209199991</v>
      </c>
      <c r="E18" s="8">
        <v>2725.8963351898997</v>
      </c>
    </row>
    <row r="19" spans="1:5">
      <c r="A19" s="6" t="s">
        <v>4</v>
      </c>
      <c r="B19" s="7">
        <v>1362.6538624999998</v>
      </c>
      <c r="C19" s="9">
        <v>8076.7878906116057</v>
      </c>
      <c r="D19" s="7">
        <v>823.910578558</v>
      </c>
      <c r="E19" s="9">
        <v>5823.9321777364194</v>
      </c>
    </row>
  </sheetData>
  <mergeCells count="4">
    <mergeCell ref="B8:C8"/>
    <mergeCell ref="D8:E8"/>
    <mergeCell ref="B15:C15"/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65-16E4-4015-8C07-617998991B81}">
  <dimension ref="B3:AJ54"/>
  <sheetViews>
    <sheetView showGridLines="0" topLeftCell="Y1" workbookViewId="0">
      <selection activeCell="H42" sqref="H42"/>
    </sheetView>
  </sheetViews>
  <sheetFormatPr baseColWidth="10" defaultColWidth="8.83203125" defaultRowHeight="16"/>
  <cols>
    <col min="2" max="2" width="9.5" hidden="1" customWidth="1"/>
    <col min="3" max="3" width="13.83203125" hidden="1" customWidth="1"/>
    <col min="4" max="4" width="17" hidden="1" customWidth="1"/>
    <col min="5" max="5" width="11.83203125" hidden="1" customWidth="1"/>
    <col min="6" max="6" width="13.83203125" hidden="1" customWidth="1"/>
    <col min="7" max="7" width="17" hidden="1" customWidth="1"/>
    <col min="8" max="8" width="11.83203125" hidden="1" customWidth="1"/>
    <col min="9" max="9" width="13.83203125" hidden="1" customWidth="1"/>
    <col min="10" max="10" width="17" hidden="1" customWidth="1"/>
    <col min="11" max="11" width="11.83203125" hidden="1" customWidth="1"/>
    <col min="13" max="13" width="19.1640625" bestFit="1" customWidth="1"/>
    <col min="14" max="14" width="12.6640625" customWidth="1"/>
    <col min="15" max="15" width="11.33203125" bestFit="1" customWidth="1"/>
    <col min="16" max="16" width="12.83203125" customWidth="1"/>
    <col min="17" max="17" width="12.5" bestFit="1" customWidth="1"/>
    <col min="18" max="18" width="11.1640625" customWidth="1"/>
    <col min="19" max="19" width="10.83203125" customWidth="1"/>
    <col min="21" max="21" width="16.1640625" bestFit="1" customWidth="1"/>
    <col min="22" max="22" width="18.1640625" bestFit="1" customWidth="1"/>
    <col min="23" max="23" width="11.6640625" bestFit="1" customWidth="1"/>
    <col min="24" max="24" width="17.6640625" customWidth="1"/>
    <col min="25" max="25" width="12.5" bestFit="1" customWidth="1"/>
    <col min="30" max="30" width="16.83203125" bestFit="1" customWidth="1"/>
    <col min="31" max="31" width="13.83203125" customWidth="1"/>
    <col min="32" max="32" width="12.5" customWidth="1"/>
    <col min="33" max="33" width="13" customWidth="1"/>
    <col min="34" max="34" width="13.6640625" customWidth="1"/>
    <col min="35" max="35" width="9.83203125" customWidth="1"/>
    <col min="36" max="36" width="9.6640625" customWidth="1"/>
  </cols>
  <sheetData>
    <row r="3" spans="2:36">
      <c r="B3" s="25"/>
      <c r="C3" s="25"/>
      <c r="D3" s="25"/>
      <c r="E3" s="25"/>
      <c r="F3" s="25"/>
      <c r="G3" s="25"/>
      <c r="H3" s="25"/>
      <c r="I3" s="25"/>
      <c r="J3" s="25"/>
      <c r="K3" s="25"/>
      <c r="M3" s="27"/>
      <c r="N3" s="34" t="s">
        <v>46</v>
      </c>
      <c r="O3" s="27" t="s">
        <v>47</v>
      </c>
      <c r="P3" s="27" t="s">
        <v>48</v>
      </c>
      <c r="Q3" s="27" t="s">
        <v>49</v>
      </c>
      <c r="R3" s="34" t="s">
        <v>12</v>
      </c>
      <c r="S3" s="34" t="s">
        <v>13</v>
      </c>
      <c r="T3" s="26"/>
      <c r="U3" s="27"/>
      <c r="V3" s="27" t="s">
        <v>36</v>
      </c>
      <c r="W3" s="27" t="s">
        <v>37</v>
      </c>
      <c r="X3" s="27" t="s">
        <v>38</v>
      </c>
      <c r="Y3" s="27" t="s">
        <v>39</v>
      </c>
      <c r="Z3" s="27" t="s">
        <v>12</v>
      </c>
      <c r="AA3" s="27" t="s">
        <v>13</v>
      </c>
      <c r="AD3" s="27"/>
      <c r="AE3" s="27" t="s">
        <v>41</v>
      </c>
      <c r="AF3" s="27" t="s">
        <v>42</v>
      </c>
      <c r="AG3" s="27" t="s">
        <v>43</v>
      </c>
      <c r="AH3" s="27" t="s">
        <v>44</v>
      </c>
      <c r="AI3" s="27" t="s">
        <v>12</v>
      </c>
      <c r="AJ3" s="27" t="s">
        <v>13</v>
      </c>
    </row>
    <row r="4" spans="2:36">
      <c r="B4" s="25"/>
      <c r="C4" s="25"/>
      <c r="D4" s="25"/>
      <c r="E4" s="25"/>
      <c r="F4" s="25"/>
      <c r="G4" s="25"/>
      <c r="H4" s="25"/>
      <c r="I4" s="25"/>
      <c r="J4" s="25"/>
      <c r="K4" s="25"/>
      <c r="M4" s="26" t="s">
        <v>11</v>
      </c>
      <c r="N4" s="29">
        <v>144</v>
      </c>
      <c r="O4" s="29">
        <v>144</v>
      </c>
      <c r="P4" s="29">
        <v>144</v>
      </c>
      <c r="Q4" s="29">
        <v>144</v>
      </c>
      <c r="R4" s="29">
        <v>208.12174859999993</v>
      </c>
      <c r="S4" s="29">
        <v>784.12174859999993</v>
      </c>
      <c r="T4" s="26"/>
      <c r="U4" s="26" t="s">
        <v>11</v>
      </c>
      <c r="V4" s="29">
        <v>144</v>
      </c>
      <c r="W4" s="29">
        <v>144</v>
      </c>
      <c r="X4" s="29">
        <v>144</v>
      </c>
      <c r="Y4" s="29">
        <v>144</v>
      </c>
      <c r="Z4" s="29">
        <v>744.03022600000008</v>
      </c>
      <c r="AA4" s="29">
        <v>1320.0302260000001</v>
      </c>
      <c r="AD4" s="26" t="s">
        <v>11</v>
      </c>
      <c r="AE4" s="29">
        <v>144</v>
      </c>
      <c r="AF4" s="29">
        <v>144</v>
      </c>
      <c r="AG4" s="29">
        <v>144</v>
      </c>
      <c r="AH4" s="29">
        <v>144</v>
      </c>
      <c r="AI4" s="29">
        <v>60.540412500000002</v>
      </c>
      <c r="AJ4" s="29">
        <v>636.5404125</v>
      </c>
    </row>
    <row r="5" spans="2:36">
      <c r="B5" s="26"/>
      <c r="C5" s="38" t="s">
        <v>3</v>
      </c>
      <c r="D5" s="38"/>
      <c r="E5" s="38"/>
      <c r="F5" s="39" t="s">
        <v>5</v>
      </c>
      <c r="G5" s="39"/>
      <c r="H5" s="39"/>
      <c r="I5" s="38" t="s">
        <v>4</v>
      </c>
      <c r="J5" s="38"/>
      <c r="K5" s="38"/>
      <c r="M5" s="26" t="s">
        <v>14</v>
      </c>
      <c r="N5" s="29">
        <v>240.94217554521228</v>
      </c>
      <c r="O5" s="29">
        <v>240.94217554521228</v>
      </c>
      <c r="P5" s="29">
        <v>240.94217554521228</v>
      </c>
      <c r="Q5" s="29">
        <v>240.94217554521228</v>
      </c>
      <c r="R5" s="29">
        <v>348.23129781915088</v>
      </c>
      <c r="S5" s="29">
        <v>1312</v>
      </c>
      <c r="T5" s="26"/>
      <c r="U5" s="26" t="s">
        <v>14</v>
      </c>
      <c r="V5" s="29">
        <v>258.21226914844902</v>
      </c>
      <c r="W5" s="29">
        <v>258.21226914844902</v>
      </c>
      <c r="X5" s="29">
        <v>258.21226914844902</v>
      </c>
      <c r="Y5" s="29">
        <v>258.21226914844902</v>
      </c>
      <c r="Z5" s="29">
        <v>1334.1509234062039</v>
      </c>
      <c r="AA5" s="29">
        <v>2367</v>
      </c>
      <c r="AD5" s="26" t="s">
        <v>14</v>
      </c>
      <c r="AE5" s="29">
        <v>308.34177397966857</v>
      </c>
      <c r="AF5" s="29">
        <v>308.34177397966857</v>
      </c>
      <c r="AG5" s="29">
        <v>308.34177397966857</v>
      </c>
      <c r="AH5" s="29">
        <v>308.34177397966857</v>
      </c>
      <c r="AI5" s="29">
        <v>129.63290408132571</v>
      </c>
      <c r="AJ5" s="29">
        <v>1363</v>
      </c>
    </row>
    <row r="6" spans="2:36">
      <c r="B6" s="26"/>
      <c r="C6" s="27" t="s">
        <v>35</v>
      </c>
      <c r="D6" s="27" t="s">
        <v>34</v>
      </c>
      <c r="E6" s="27" t="s">
        <v>40</v>
      </c>
      <c r="F6" s="27" t="s">
        <v>35</v>
      </c>
      <c r="G6" s="27" t="s">
        <v>34</v>
      </c>
      <c r="H6" s="27" t="s">
        <v>40</v>
      </c>
      <c r="I6" s="27" t="s">
        <v>35</v>
      </c>
      <c r="J6" s="27" t="s">
        <v>34</v>
      </c>
      <c r="K6" s="27" t="s">
        <v>40</v>
      </c>
      <c r="M6" s="26" t="s">
        <v>15</v>
      </c>
      <c r="N6" s="35">
        <v>1.6732095523973074</v>
      </c>
      <c r="O6" s="35">
        <v>1.6732095523973074</v>
      </c>
      <c r="P6" s="35">
        <v>1.6732095523973074</v>
      </c>
      <c r="Q6" s="35">
        <v>1.6732095523973074</v>
      </c>
      <c r="R6" s="35">
        <v>1.6732095523973076</v>
      </c>
      <c r="S6" s="35">
        <v>1.6732095523973076</v>
      </c>
      <c r="T6" s="26"/>
      <c r="U6" s="26" t="s">
        <v>15</v>
      </c>
      <c r="V6" s="35">
        <v>1.7931407579753404</v>
      </c>
      <c r="W6" s="35">
        <v>1.7931407579753404</v>
      </c>
      <c r="X6" s="35">
        <v>1.7931407579753404</v>
      </c>
      <c r="Y6" s="35">
        <v>1.7931407579753404</v>
      </c>
      <c r="Z6" s="35">
        <v>1.7931407579753402</v>
      </c>
      <c r="AA6" s="35">
        <v>1.7931407579753404</v>
      </c>
      <c r="AD6" s="26" t="s">
        <v>15</v>
      </c>
      <c r="AE6" s="35">
        <v>2.1412623193032538</v>
      </c>
      <c r="AF6" s="35">
        <v>2.1412623193032538</v>
      </c>
      <c r="AG6" s="35">
        <v>2.1412623193032538</v>
      </c>
      <c r="AH6" s="35">
        <v>2.1412623193032538</v>
      </c>
      <c r="AI6" s="35">
        <v>2.1412623193032538</v>
      </c>
      <c r="AJ6" s="35">
        <v>2.1412623193032538</v>
      </c>
    </row>
    <row r="7" spans="2:36">
      <c r="B7" s="26" t="s">
        <v>14</v>
      </c>
      <c r="C7" s="28">
        <v>1312</v>
      </c>
      <c r="D7" s="28">
        <v>1312</v>
      </c>
      <c r="E7" s="28">
        <v>1312</v>
      </c>
      <c r="F7" s="29">
        <v>2367.0299999999997</v>
      </c>
      <c r="G7" s="29">
        <v>2367.0299999999997</v>
      </c>
      <c r="H7" s="26">
        <v>2367</v>
      </c>
      <c r="I7" s="30">
        <v>1362.6538624999998</v>
      </c>
      <c r="J7" s="30">
        <v>1362.6538624999998</v>
      </c>
      <c r="K7" s="28">
        <v>1363</v>
      </c>
      <c r="M7" s="28" t="s">
        <v>20</v>
      </c>
      <c r="N7" s="28"/>
      <c r="O7" s="28"/>
      <c r="P7" s="28"/>
      <c r="Q7" s="28"/>
      <c r="R7" s="28"/>
      <c r="S7" s="28"/>
      <c r="T7" s="26"/>
      <c r="U7" s="28" t="s">
        <v>20</v>
      </c>
      <c r="V7" s="28"/>
      <c r="W7" s="28"/>
      <c r="X7" s="28"/>
      <c r="Y7" s="28"/>
      <c r="Z7" s="28"/>
      <c r="AA7" s="28"/>
      <c r="AD7" s="28" t="s">
        <v>20</v>
      </c>
      <c r="AE7" s="28"/>
      <c r="AF7" s="28"/>
      <c r="AG7" s="28"/>
      <c r="AH7" s="28"/>
      <c r="AI7" s="28"/>
      <c r="AJ7" s="28"/>
    </row>
    <row r="8" spans="2:36">
      <c r="B8" s="26" t="s">
        <v>20</v>
      </c>
      <c r="C8" s="31">
        <v>31825.742474404215</v>
      </c>
      <c r="D8" s="30">
        <v>31495.818687210405</v>
      </c>
      <c r="E8" s="28">
        <v>31562</v>
      </c>
      <c r="F8" s="29">
        <v>22449.600883278101</v>
      </c>
      <c r="G8" s="29">
        <v>30322.532201012582</v>
      </c>
      <c r="H8" s="32">
        <v>39128</v>
      </c>
      <c r="I8" s="30">
        <v>8076.7878906116057</v>
      </c>
      <c r="J8" s="31">
        <v>10414.099387122702</v>
      </c>
      <c r="K8" s="28">
        <v>651</v>
      </c>
      <c r="M8" s="26" t="s">
        <v>21</v>
      </c>
      <c r="N8" s="29">
        <v>5844.6842064801267</v>
      </c>
      <c r="O8" s="29">
        <v>5844.6842064801267</v>
      </c>
      <c r="P8" s="29">
        <v>5844.6842064801267</v>
      </c>
      <c r="Q8" s="29">
        <v>5844.6842064801267</v>
      </c>
      <c r="R8" s="29">
        <v>8447.2631740794932</v>
      </c>
      <c r="S8" s="26">
        <v>31826</v>
      </c>
      <c r="T8" s="26"/>
      <c r="U8" s="26" t="s">
        <v>21</v>
      </c>
      <c r="V8" s="29">
        <v>4268.411350756448</v>
      </c>
      <c r="W8" s="29">
        <v>4268.411350756448</v>
      </c>
      <c r="X8" s="29">
        <v>4268.411350756448</v>
      </c>
      <c r="Y8" s="29">
        <v>4268.411350756448</v>
      </c>
      <c r="Z8" s="29">
        <v>22054.354596974208</v>
      </c>
      <c r="AA8" s="26">
        <v>39128</v>
      </c>
      <c r="AD8" s="26" t="s">
        <v>21</v>
      </c>
      <c r="AE8" s="29">
        <v>2355.8849847573501</v>
      </c>
      <c r="AF8" s="29">
        <v>2355.8849847573501</v>
      </c>
      <c r="AG8" s="29">
        <v>2355.8849847573501</v>
      </c>
      <c r="AH8" s="29">
        <v>2355.8849847573501</v>
      </c>
      <c r="AI8" s="29">
        <v>990.46006097059876</v>
      </c>
      <c r="AJ8" s="26">
        <v>10414</v>
      </c>
    </row>
    <row r="9" spans="2:36">
      <c r="B9" s="26" t="s">
        <v>16</v>
      </c>
      <c r="C9" s="28">
        <v>407</v>
      </c>
      <c r="D9" s="28">
        <v>407</v>
      </c>
      <c r="E9" s="28">
        <v>407</v>
      </c>
      <c r="F9" s="29">
        <v>819.37978209199991</v>
      </c>
      <c r="G9" s="29">
        <v>819.37978209199991</v>
      </c>
      <c r="H9" s="26">
        <v>819</v>
      </c>
      <c r="I9" s="30">
        <v>823.910578558</v>
      </c>
      <c r="J9" s="30">
        <v>823.910578558</v>
      </c>
      <c r="K9" s="28">
        <v>824</v>
      </c>
      <c r="M9" s="26" t="s">
        <v>22</v>
      </c>
      <c r="N9" s="29">
        <v>30754.942175545209</v>
      </c>
      <c r="O9" s="29">
        <v>240.94217554521228</v>
      </c>
      <c r="P9" s="29">
        <v>240.94217554521228</v>
      </c>
      <c r="Q9" s="29">
        <v>240.94217554521228</v>
      </c>
      <c r="R9" s="29">
        <v>348.23129781915088</v>
      </c>
      <c r="S9" s="26">
        <v>31826</v>
      </c>
      <c r="T9" s="26"/>
      <c r="U9" s="26" t="s">
        <v>22</v>
      </c>
      <c r="V9" s="29">
        <v>37019.212269148455</v>
      </c>
      <c r="W9" s="29">
        <v>258.21226914844902</v>
      </c>
      <c r="X9" s="29">
        <v>258.21226914844902</v>
      </c>
      <c r="Y9" s="29">
        <v>258.21226914844902</v>
      </c>
      <c r="Z9" s="29">
        <v>1334.1509234062039</v>
      </c>
      <c r="AA9" s="26">
        <v>39128</v>
      </c>
      <c r="AD9" s="26" t="s">
        <v>22</v>
      </c>
      <c r="AE9" s="29">
        <v>9359.3417739796714</v>
      </c>
      <c r="AF9" s="29">
        <v>308.34177397966857</v>
      </c>
      <c r="AG9" s="29">
        <v>308.34177397966857</v>
      </c>
      <c r="AH9" s="29">
        <v>308.34177397966857</v>
      </c>
      <c r="AI9" s="29">
        <v>129.63290408132571</v>
      </c>
      <c r="AJ9" s="26">
        <v>10414</v>
      </c>
    </row>
    <row r="10" spans="2:36">
      <c r="B10" s="26" t="s">
        <v>45</v>
      </c>
      <c r="C10" s="30">
        <v>9218.4322912625175</v>
      </c>
      <c r="D10" s="30">
        <v>10702.483546759144</v>
      </c>
      <c r="E10" s="33">
        <v>11003</v>
      </c>
      <c r="F10" s="29">
        <v>2725.8963351898997</v>
      </c>
      <c r="G10" s="29">
        <v>3131.5128242973988</v>
      </c>
      <c r="H10" s="32">
        <v>3169</v>
      </c>
      <c r="I10" s="30">
        <v>5823.9321777364194</v>
      </c>
      <c r="J10" s="30">
        <v>6224.5191679784821</v>
      </c>
      <c r="K10" s="33">
        <v>6281</v>
      </c>
      <c r="M10" s="26" t="s">
        <v>23</v>
      </c>
      <c r="N10" s="29">
        <v>15497.942175545211</v>
      </c>
      <c r="O10" s="29">
        <v>15497.942175545211</v>
      </c>
      <c r="P10" s="29">
        <v>240.94217554521228</v>
      </c>
      <c r="Q10" s="29">
        <v>240.94217554521228</v>
      </c>
      <c r="R10" s="29">
        <v>348.23129781915088</v>
      </c>
      <c r="S10" s="26">
        <v>31826</v>
      </c>
      <c r="T10" s="26"/>
      <c r="U10" s="26" t="s">
        <v>23</v>
      </c>
      <c r="V10" s="29">
        <v>18638.712269148451</v>
      </c>
      <c r="W10" s="29">
        <v>18638.712269148451</v>
      </c>
      <c r="X10" s="29">
        <v>258.21226914844902</v>
      </c>
      <c r="Y10" s="29">
        <v>258.21226914844902</v>
      </c>
      <c r="Z10" s="29">
        <v>1334.1509234062039</v>
      </c>
      <c r="AA10" s="26">
        <v>39128</v>
      </c>
      <c r="AD10" s="26" t="s">
        <v>23</v>
      </c>
      <c r="AE10" s="29">
        <v>4833.8417739796696</v>
      </c>
      <c r="AF10" s="29">
        <v>4833.8417739796696</v>
      </c>
      <c r="AG10" s="29">
        <v>308.34177397966857</v>
      </c>
      <c r="AH10" s="29">
        <v>308.34177397966857</v>
      </c>
      <c r="AI10" s="29">
        <v>129.63290408132571</v>
      </c>
      <c r="AJ10" s="26">
        <v>10414</v>
      </c>
    </row>
    <row r="11" spans="2:36">
      <c r="B11" s="25"/>
      <c r="C11" s="25"/>
      <c r="D11" s="25"/>
      <c r="E11" s="25"/>
      <c r="F11" s="25"/>
      <c r="G11" s="25"/>
      <c r="H11" s="25"/>
      <c r="I11" s="25"/>
      <c r="J11" s="25"/>
      <c r="K11" s="25"/>
      <c r="M11" s="26" t="s">
        <v>24</v>
      </c>
      <c r="N11" s="29">
        <v>10412.275508878545</v>
      </c>
      <c r="O11" s="29">
        <v>10412.275508878545</v>
      </c>
      <c r="P11" s="29">
        <v>10412.275508878545</v>
      </c>
      <c r="Q11" s="29">
        <v>240.94217554521228</v>
      </c>
      <c r="R11" s="29">
        <v>348.23129781915088</v>
      </c>
      <c r="S11" s="26">
        <v>31826</v>
      </c>
      <c r="T11" s="26"/>
      <c r="U11" s="26" t="s">
        <v>24</v>
      </c>
      <c r="V11" s="29">
        <v>12511.878935815117</v>
      </c>
      <c r="W11" s="29">
        <v>12511.878935815117</v>
      </c>
      <c r="X11" s="29">
        <v>12511.878935815117</v>
      </c>
      <c r="Y11" s="29">
        <v>258.21226914844902</v>
      </c>
      <c r="Z11" s="29">
        <v>1334.1509234062039</v>
      </c>
      <c r="AA11" s="26">
        <v>39128</v>
      </c>
      <c r="AD11" s="26" t="s">
        <v>24</v>
      </c>
      <c r="AE11" s="29">
        <v>3325.3417739796691</v>
      </c>
      <c r="AF11" s="29">
        <v>3325.3417739796691</v>
      </c>
      <c r="AG11" s="29">
        <v>3325.3417739796691</v>
      </c>
      <c r="AH11" s="29">
        <v>308.34177397966857</v>
      </c>
      <c r="AI11" s="29">
        <v>129.63290408132571</v>
      </c>
      <c r="AJ11" s="26">
        <v>10414</v>
      </c>
    </row>
    <row r="12" spans="2:36">
      <c r="B12" s="25"/>
      <c r="C12" s="25"/>
      <c r="D12" s="25"/>
      <c r="E12" s="25"/>
      <c r="F12" s="25"/>
      <c r="G12" s="25"/>
      <c r="H12" s="25"/>
      <c r="I12" s="25"/>
      <c r="J12" s="25"/>
      <c r="K12" s="25"/>
      <c r="M12" s="26" t="s">
        <v>25</v>
      </c>
      <c r="N12" s="29">
        <v>7869.4421755452122</v>
      </c>
      <c r="O12" s="29">
        <v>7869.4421755452122</v>
      </c>
      <c r="P12" s="29">
        <v>7869.4421755452122</v>
      </c>
      <c r="Q12" s="29">
        <v>7869.4421755452122</v>
      </c>
      <c r="R12" s="29">
        <v>348.23129781915088</v>
      </c>
      <c r="S12" s="26">
        <v>31826</v>
      </c>
      <c r="T12" s="26"/>
      <c r="U12" s="26" t="s">
        <v>25</v>
      </c>
      <c r="V12" s="29">
        <v>9448.4622691484492</v>
      </c>
      <c r="W12" s="29">
        <v>9448.4622691484492</v>
      </c>
      <c r="X12" s="29">
        <v>9448.4622691484492</v>
      </c>
      <c r="Y12" s="29">
        <v>9448.4622691484492</v>
      </c>
      <c r="Z12" s="29">
        <v>1334.1509234062039</v>
      </c>
      <c r="AA12" s="26">
        <v>39128</v>
      </c>
      <c r="AD12" s="26" t="s">
        <v>25</v>
      </c>
      <c r="AE12" s="29">
        <v>2571.0917739796687</v>
      </c>
      <c r="AF12" s="29">
        <v>2571.0917739796687</v>
      </c>
      <c r="AG12" s="29">
        <v>2571.0917739796687</v>
      </c>
      <c r="AH12" s="29">
        <v>2571.0917739796687</v>
      </c>
      <c r="AI12" s="29">
        <v>129.63290408132571</v>
      </c>
      <c r="AJ12" s="26">
        <v>10414</v>
      </c>
    </row>
    <row r="13" spans="2:36">
      <c r="B13" s="25"/>
      <c r="C13" s="25"/>
      <c r="D13" s="25"/>
      <c r="E13" s="25"/>
      <c r="F13" s="25"/>
      <c r="G13" s="25"/>
      <c r="H13" s="25"/>
      <c r="I13" s="25"/>
      <c r="J13" s="25"/>
      <c r="K13" s="25"/>
      <c r="M13" s="28" t="s">
        <v>26</v>
      </c>
      <c r="N13" s="28"/>
      <c r="O13" s="28"/>
      <c r="P13" s="28"/>
      <c r="Q13" s="28"/>
      <c r="R13" s="28"/>
      <c r="S13" s="28"/>
      <c r="T13" s="26"/>
      <c r="U13" s="28" t="s">
        <v>26</v>
      </c>
      <c r="V13" s="28"/>
      <c r="W13" s="28"/>
      <c r="X13" s="28"/>
      <c r="Y13" s="28"/>
      <c r="Z13" s="28"/>
      <c r="AA13" s="28"/>
      <c r="AD13" s="28" t="s">
        <v>26</v>
      </c>
      <c r="AE13" s="28"/>
      <c r="AF13" s="28"/>
      <c r="AG13" s="28"/>
      <c r="AH13" s="28"/>
      <c r="AI13" s="28"/>
      <c r="AJ13" s="28"/>
    </row>
    <row r="14" spans="2:36">
      <c r="M14" s="26" t="s">
        <v>21</v>
      </c>
      <c r="N14" s="26">
        <v>41</v>
      </c>
      <c r="O14" s="26">
        <v>41</v>
      </c>
      <c r="P14" s="26">
        <v>41</v>
      </c>
      <c r="Q14" s="26">
        <v>41</v>
      </c>
      <c r="R14" s="26">
        <v>41</v>
      </c>
      <c r="S14" s="26">
        <v>41</v>
      </c>
      <c r="T14" s="26"/>
      <c r="U14" s="26" t="s">
        <v>21</v>
      </c>
      <c r="V14" s="29">
        <v>29.641745491364222</v>
      </c>
      <c r="W14" s="29">
        <v>29.641745491364222</v>
      </c>
      <c r="X14" s="29">
        <v>29.641745491364222</v>
      </c>
      <c r="Y14" s="29">
        <v>29.641745491364222</v>
      </c>
      <c r="Z14" s="29">
        <v>29.641745491364226</v>
      </c>
      <c r="AA14" s="29">
        <v>29.641745491364222</v>
      </c>
      <c r="AD14" s="26" t="s">
        <v>21</v>
      </c>
      <c r="AE14" s="29">
        <v>16.360312394148266</v>
      </c>
      <c r="AF14" s="29">
        <v>16.360312394148266</v>
      </c>
      <c r="AG14" s="29">
        <v>16.360312394148266</v>
      </c>
      <c r="AH14" s="29">
        <v>16.360312394148266</v>
      </c>
      <c r="AI14" s="29">
        <v>16.360312394148266</v>
      </c>
      <c r="AJ14" s="29">
        <v>16.360312394148266</v>
      </c>
    </row>
    <row r="15" spans="2:36">
      <c r="M15" s="26" t="s">
        <v>22</v>
      </c>
      <c r="N15" s="26">
        <v>214</v>
      </c>
      <c r="O15" s="26">
        <v>2</v>
      </c>
      <c r="P15" s="26">
        <v>2</v>
      </c>
      <c r="Q15" s="26">
        <v>2</v>
      </c>
      <c r="R15" s="26">
        <v>2</v>
      </c>
      <c r="S15" s="26">
        <v>41</v>
      </c>
      <c r="T15" s="26"/>
      <c r="U15" s="26" t="s">
        <v>22</v>
      </c>
      <c r="V15" s="29">
        <v>257.07786298019761</v>
      </c>
      <c r="W15" s="29">
        <v>1.7931407579753404</v>
      </c>
      <c r="X15" s="29">
        <v>1.7931407579753404</v>
      </c>
      <c r="Y15" s="29">
        <v>1.7931407579753404</v>
      </c>
      <c r="Z15" s="29">
        <v>1.7931407579753402</v>
      </c>
      <c r="AA15" s="29">
        <v>29.641745491364222</v>
      </c>
      <c r="AD15" s="26" t="s">
        <v>22</v>
      </c>
      <c r="AE15" s="29">
        <v>64.995428985969937</v>
      </c>
      <c r="AF15" s="29">
        <v>2.1412623193032538</v>
      </c>
      <c r="AG15" s="29">
        <v>2.1412623193032538</v>
      </c>
      <c r="AH15" s="29">
        <v>2.1412623193032538</v>
      </c>
      <c r="AI15" s="29">
        <v>2.1412623193032538</v>
      </c>
      <c r="AJ15" s="29">
        <v>16.360312394148266</v>
      </c>
    </row>
    <row r="16" spans="2:36">
      <c r="M16" s="26" t="s">
        <v>23</v>
      </c>
      <c r="N16" s="26">
        <v>108</v>
      </c>
      <c r="O16" s="26">
        <v>108</v>
      </c>
      <c r="P16" s="26">
        <v>2</v>
      </c>
      <c r="Q16" s="26">
        <v>2</v>
      </c>
      <c r="R16" s="26">
        <v>2</v>
      </c>
      <c r="S16" s="26">
        <v>41</v>
      </c>
      <c r="T16" s="26"/>
      <c r="U16" s="26" t="s">
        <v>23</v>
      </c>
      <c r="V16" s="29">
        <v>129.43550186908647</v>
      </c>
      <c r="W16" s="29">
        <v>129.43550186908647</v>
      </c>
      <c r="X16" s="29">
        <v>1.7931407579753404</v>
      </c>
      <c r="Y16" s="29">
        <v>1.7931407579753404</v>
      </c>
      <c r="Z16" s="29">
        <v>1.7931407579753402</v>
      </c>
      <c r="AA16" s="29">
        <v>29.641745491364222</v>
      </c>
      <c r="AD16" s="26" t="s">
        <v>23</v>
      </c>
      <c r="AE16" s="29">
        <v>33.568345652636594</v>
      </c>
      <c r="AF16" s="29">
        <v>33.568345652636594</v>
      </c>
      <c r="AG16" s="29">
        <v>2.1412623193032538</v>
      </c>
      <c r="AH16" s="29">
        <v>2.1412623193032538</v>
      </c>
      <c r="AI16" s="29">
        <v>2.1412623193032538</v>
      </c>
      <c r="AJ16" s="29">
        <v>16.360312394148266</v>
      </c>
    </row>
    <row r="17" spans="13:36">
      <c r="M17" s="26" t="s">
        <v>24</v>
      </c>
      <c r="N17" s="26">
        <v>72</v>
      </c>
      <c r="O17" s="26">
        <v>72</v>
      </c>
      <c r="P17" s="26">
        <v>72</v>
      </c>
      <c r="Q17" s="26">
        <v>2</v>
      </c>
      <c r="R17" s="26">
        <v>2</v>
      </c>
      <c r="S17" s="26">
        <v>41</v>
      </c>
      <c r="T17" s="26"/>
      <c r="U17" s="26" t="s">
        <v>24</v>
      </c>
      <c r="V17" s="29">
        <v>86.888048165382756</v>
      </c>
      <c r="W17" s="29">
        <v>86.888048165382756</v>
      </c>
      <c r="X17" s="29">
        <v>86.888048165382756</v>
      </c>
      <c r="Y17" s="29">
        <v>1.7931407579753404</v>
      </c>
      <c r="Z17" s="29">
        <v>1.7931407579753402</v>
      </c>
      <c r="AA17" s="29">
        <v>29.641745491364222</v>
      </c>
      <c r="AD17" s="26" t="s">
        <v>24</v>
      </c>
      <c r="AE17" s="29">
        <v>23.092651208192148</v>
      </c>
      <c r="AF17" s="29">
        <v>23.092651208192148</v>
      </c>
      <c r="AG17" s="29">
        <v>23.092651208192148</v>
      </c>
      <c r="AH17" s="29">
        <v>2.1412623193032538</v>
      </c>
      <c r="AI17" s="29">
        <v>2.1412623193032538</v>
      </c>
      <c r="AJ17" s="29">
        <v>16.360312394148266</v>
      </c>
    </row>
    <row r="18" spans="13:36">
      <c r="M18" s="26" t="s">
        <v>25</v>
      </c>
      <c r="N18" s="26">
        <v>55</v>
      </c>
      <c r="O18" s="26">
        <v>55</v>
      </c>
      <c r="P18" s="26">
        <v>55</v>
      </c>
      <c r="Q18" s="26">
        <v>55</v>
      </c>
      <c r="R18" s="26">
        <v>2</v>
      </c>
      <c r="S18" s="26">
        <v>41</v>
      </c>
      <c r="T18" s="26"/>
      <c r="U18" s="26" t="s">
        <v>25</v>
      </c>
      <c r="V18" s="29">
        <v>65.614321313530894</v>
      </c>
      <c r="W18" s="29">
        <v>65.614321313530894</v>
      </c>
      <c r="X18" s="29">
        <v>65.614321313530894</v>
      </c>
      <c r="Y18" s="29">
        <v>65.614321313530894</v>
      </c>
      <c r="Z18" s="29">
        <v>1.7931407579753402</v>
      </c>
      <c r="AA18" s="29">
        <v>29.641745491364222</v>
      </c>
      <c r="AD18" s="26" t="s">
        <v>25</v>
      </c>
      <c r="AE18" s="29">
        <v>17.854803985969923</v>
      </c>
      <c r="AF18" s="29">
        <v>17.854803985969923</v>
      </c>
      <c r="AG18" s="29">
        <v>17.854803985969923</v>
      </c>
      <c r="AH18" s="29">
        <v>17.854803985969923</v>
      </c>
      <c r="AI18" s="29">
        <v>2.1412623193032538</v>
      </c>
      <c r="AJ18" s="29">
        <v>16.360312394148266</v>
      </c>
    </row>
    <row r="19" spans="13:36">
      <c r="M19" s="26"/>
      <c r="N19" s="26"/>
      <c r="O19" s="26"/>
      <c r="P19" s="26"/>
      <c r="Q19" s="26"/>
      <c r="R19" s="26"/>
      <c r="S19" s="26"/>
      <c r="T19" s="26"/>
    </row>
    <row r="20" spans="13:36"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3:36">
      <c r="M21" s="27"/>
      <c r="N21" s="34" t="s">
        <v>46</v>
      </c>
      <c r="O21" s="27" t="s">
        <v>47</v>
      </c>
      <c r="P21" s="27" t="s">
        <v>48</v>
      </c>
      <c r="Q21" s="27" t="s">
        <v>49</v>
      </c>
      <c r="R21" s="34" t="s">
        <v>12</v>
      </c>
      <c r="S21" s="34" t="s">
        <v>13</v>
      </c>
      <c r="T21" s="26"/>
      <c r="U21" s="27"/>
      <c r="V21" s="27" t="s">
        <v>36</v>
      </c>
      <c r="W21" s="27" t="s">
        <v>37</v>
      </c>
      <c r="X21" s="27" t="s">
        <v>38</v>
      </c>
      <c r="Y21" s="27" t="s">
        <v>39</v>
      </c>
      <c r="Z21" s="27" t="s">
        <v>12</v>
      </c>
      <c r="AA21" s="27" t="s">
        <v>13</v>
      </c>
      <c r="AD21" s="27"/>
      <c r="AE21" s="27" t="s">
        <v>41</v>
      </c>
      <c r="AF21" s="27" t="s">
        <v>42</v>
      </c>
      <c r="AG21" s="27" t="s">
        <v>43</v>
      </c>
      <c r="AH21" s="27" t="s">
        <v>44</v>
      </c>
      <c r="AI21" s="27" t="s">
        <v>12</v>
      </c>
      <c r="AJ21" s="27" t="s">
        <v>13</v>
      </c>
    </row>
    <row r="22" spans="13:36">
      <c r="M22" s="26" t="s">
        <v>11</v>
      </c>
      <c r="N22" s="29">
        <v>144</v>
      </c>
      <c r="O22" s="29">
        <v>144</v>
      </c>
      <c r="P22" s="29">
        <v>144</v>
      </c>
      <c r="Q22" s="29">
        <v>144</v>
      </c>
      <c r="R22" s="29">
        <v>208.12174859999993</v>
      </c>
      <c r="S22" s="29">
        <v>784.12174859999993</v>
      </c>
      <c r="T22" s="26"/>
      <c r="U22" s="26" t="s">
        <v>11</v>
      </c>
      <c r="V22" s="29">
        <v>144</v>
      </c>
      <c r="W22" s="29">
        <v>144</v>
      </c>
      <c r="X22" s="29">
        <v>144</v>
      </c>
      <c r="Y22" s="29">
        <v>144</v>
      </c>
      <c r="Z22" s="29">
        <v>744.03022600000008</v>
      </c>
      <c r="AA22" s="29">
        <v>1320.0302260000001</v>
      </c>
      <c r="AD22" s="26" t="s">
        <v>11</v>
      </c>
      <c r="AE22" s="29">
        <v>144</v>
      </c>
      <c r="AF22" s="29">
        <v>144</v>
      </c>
      <c r="AG22" s="29">
        <v>144</v>
      </c>
      <c r="AH22" s="29">
        <v>144</v>
      </c>
      <c r="AI22" s="29">
        <v>60.540412500000002</v>
      </c>
      <c r="AJ22" s="29">
        <v>636.5404125</v>
      </c>
    </row>
    <row r="23" spans="13:36">
      <c r="M23" s="26" t="s">
        <v>16</v>
      </c>
      <c r="N23" s="29">
        <v>74.743495005260215</v>
      </c>
      <c r="O23" s="29">
        <v>74.743495005260215</v>
      </c>
      <c r="P23" s="29">
        <v>74.743495005260215</v>
      </c>
      <c r="Q23" s="29">
        <v>74.743495005260215</v>
      </c>
      <c r="R23" s="29">
        <v>108.02601997895916</v>
      </c>
      <c r="S23" s="29">
        <v>407</v>
      </c>
      <c r="T23" s="26"/>
      <c r="U23" s="26" t="s">
        <v>16</v>
      </c>
      <c r="V23" s="29">
        <v>89.343408716763733</v>
      </c>
      <c r="W23" s="29">
        <v>89.343408716763733</v>
      </c>
      <c r="X23" s="29">
        <v>89.343408716763733</v>
      </c>
      <c r="Y23" s="29">
        <v>89.343408716763733</v>
      </c>
      <c r="Z23" s="29">
        <v>461.62636513294507</v>
      </c>
      <c r="AA23" s="29">
        <v>819</v>
      </c>
      <c r="AD23" s="26" t="s">
        <v>16</v>
      </c>
      <c r="AE23" s="29">
        <v>186.40764619167052</v>
      </c>
      <c r="AF23" s="29">
        <v>186.40764619167052</v>
      </c>
      <c r="AG23" s="29">
        <v>186.40764619167052</v>
      </c>
      <c r="AH23" s="29">
        <v>186.40764619167052</v>
      </c>
      <c r="AI23" s="29">
        <v>78.369415233317966</v>
      </c>
      <c r="AJ23" s="29">
        <v>824</v>
      </c>
    </row>
    <row r="24" spans="13:36">
      <c r="M24" s="26" t="s">
        <v>17</v>
      </c>
      <c r="N24" s="35">
        <v>0.51905204864764043</v>
      </c>
      <c r="O24" s="35">
        <v>0.51905204864764043</v>
      </c>
      <c r="P24" s="35">
        <v>0.51905204864764043</v>
      </c>
      <c r="Q24" s="35">
        <v>0.51905204864764043</v>
      </c>
      <c r="R24" s="35">
        <v>0.51905204864764043</v>
      </c>
      <c r="S24" s="35">
        <v>0.51905204864764032</v>
      </c>
      <c r="T24" s="26"/>
      <c r="U24" s="26" t="s">
        <v>17</v>
      </c>
      <c r="V24" s="35">
        <v>0.62044033831085921</v>
      </c>
      <c r="W24" s="35">
        <v>0.62044033831085921</v>
      </c>
      <c r="X24" s="35">
        <v>0.62044033831085921</v>
      </c>
      <c r="Y24" s="35">
        <v>0.62044033831085921</v>
      </c>
      <c r="Z24" s="35">
        <v>0.62044033831085921</v>
      </c>
      <c r="AA24" s="35">
        <v>0.62044033831085921</v>
      </c>
      <c r="AD24" s="26" t="s">
        <v>17</v>
      </c>
      <c r="AE24" s="35">
        <v>1.2944975429977119</v>
      </c>
      <c r="AF24" s="35">
        <v>1.2944975429977119</v>
      </c>
      <c r="AG24" s="35">
        <v>1.2944975429977119</v>
      </c>
      <c r="AH24" s="35">
        <v>1.2944975429977119</v>
      </c>
      <c r="AI24" s="35">
        <v>1.2944975429977119</v>
      </c>
      <c r="AJ24" s="35">
        <v>1.2944975429977119</v>
      </c>
    </row>
    <row r="25" spans="13:36">
      <c r="M25" s="28" t="s">
        <v>27</v>
      </c>
      <c r="N25" s="28"/>
      <c r="O25" s="28"/>
      <c r="P25" s="28"/>
      <c r="Q25" s="28"/>
      <c r="R25" s="28"/>
      <c r="S25" s="28"/>
      <c r="T25" s="26"/>
      <c r="U25" s="28" t="s">
        <v>27</v>
      </c>
      <c r="V25" s="28"/>
      <c r="W25" s="28"/>
      <c r="X25" s="28"/>
      <c r="Y25" s="28"/>
      <c r="Z25" s="28"/>
      <c r="AA25" s="28"/>
      <c r="AD25" s="28" t="s">
        <v>27</v>
      </c>
      <c r="AE25" s="28"/>
      <c r="AF25" s="28"/>
      <c r="AG25" s="28"/>
      <c r="AH25" s="28"/>
      <c r="AI25" s="28"/>
      <c r="AJ25" s="28"/>
    </row>
    <row r="26" spans="13:36">
      <c r="M26" s="26" t="s">
        <v>21</v>
      </c>
      <c r="N26" s="29">
        <v>2020.6453944542461</v>
      </c>
      <c r="O26" s="29">
        <v>2020.6453944542461</v>
      </c>
      <c r="P26" s="29">
        <v>2020.6453944542461</v>
      </c>
      <c r="Q26" s="29">
        <v>2020.6453944542461</v>
      </c>
      <c r="R26" s="29">
        <v>2920.4184221830155</v>
      </c>
      <c r="S26" s="26">
        <v>11003</v>
      </c>
      <c r="T26" s="26"/>
      <c r="U26" s="26" t="s">
        <v>21</v>
      </c>
      <c r="V26" s="29">
        <v>345.70117487597588</v>
      </c>
      <c r="W26" s="29">
        <v>345.70117487597588</v>
      </c>
      <c r="X26" s="29">
        <v>345.70117487597588</v>
      </c>
      <c r="Y26" s="29">
        <v>345.70117487597588</v>
      </c>
      <c r="Z26" s="29">
        <v>1786.1953004960965</v>
      </c>
      <c r="AA26" s="26">
        <v>3169</v>
      </c>
      <c r="AD26" s="26" t="s">
        <v>21</v>
      </c>
      <c r="AE26" s="29">
        <v>1420.9058564683039</v>
      </c>
      <c r="AF26" s="29">
        <v>1420.9058564683039</v>
      </c>
      <c r="AG26" s="29">
        <v>1420.9058564683039</v>
      </c>
      <c r="AH26" s="29">
        <v>1420.9058564683039</v>
      </c>
      <c r="AI26" s="29">
        <v>597.37657412678413</v>
      </c>
      <c r="AJ26" s="26">
        <v>6281</v>
      </c>
    </row>
    <row r="27" spans="13:36">
      <c r="M27" s="26" t="s">
        <v>22</v>
      </c>
      <c r="N27" s="29">
        <v>10670.743495005263</v>
      </c>
      <c r="O27" s="29">
        <v>74.743495005260215</v>
      </c>
      <c r="P27" s="29">
        <v>74.743495005260215</v>
      </c>
      <c r="Q27" s="29">
        <v>74.743495005260215</v>
      </c>
      <c r="R27" s="29">
        <v>108.02601997895916</v>
      </c>
      <c r="S27" s="26">
        <v>11003</v>
      </c>
      <c r="T27" s="26"/>
      <c r="U27" s="26" t="s">
        <v>22</v>
      </c>
      <c r="V27" s="29">
        <v>2439.3434087167634</v>
      </c>
      <c r="W27" s="29">
        <v>89.343408716763733</v>
      </c>
      <c r="X27" s="29">
        <v>89.343408716763733</v>
      </c>
      <c r="Y27" s="29">
        <v>89.343408716763733</v>
      </c>
      <c r="Z27" s="29">
        <v>461.62636513294507</v>
      </c>
      <c r="AA27" s="26">
        <v>3169</v>
      </c>
      <c r="AD27" s="26" t="s">
        <v>22</v>
      </c>
      <c r="AE27" s="29">
        <v>5643.4076461916711</v>
      </c>
      <c r="AF27" s="29">
        <v>186.40764619167052</v>
      </c>
      <c r="AG27" s="29">
        <v>186.40764619167052</v>
      </c>
      <c r="AH27" s="29">
        <v>186.40764619167052</v>
      </c>
      <c r="AI27" s="29">
        <v>78.369415233317966</v>
      </c>
      <c r="AJ27" s="26">
        <v>6281</v>
      </c>
    </row>
    <row r="28" spans="13:36">
      <c r="M28" s="26" t="s">
        <v>23</v>
      </c>
      <c r="N28" s="29">
        <v>5372.7434950052611</v>
      </c>
      <c r="O28" s="29">
        <v>5372.7434950052611</v>
      </c>
      <c r="P28" s="29">
        <v>74.743495005260215</v>
      </c>
      <c r="Q28" s="29">
        <v>74.743495005260215</v>
      </c>
      <c r="R28" s="29">
        <v>108.02601997895916</v>
      </c>
      <c r="S28" s="26">
        <v>11003</v>
      </c>
      <c r="T28" s="26"/>
      <c r="U28" s="26" t="s">
        <v>23</v>
      </c>
      <c r="V28" s="29">
        <v>1264.3434087167636</v>
      </c>
      <c r="W28" s="29">
        <v>1264.3434087167636</v>
      </c>
      <c r="X28" s="29">
        <v>89.343408716763733</v>
      </c>
      <c r="Y28" s="29">
        <v>89.343408716763733</v>
      </c>
      <c r="Z28" s="29">
        <v>461.62636513294507</v>
      </c>
      <c r="AA28" s="26">
        <v>3169</v>
      </c>
      <c r="AD28" s="26" t="s">
        <v>23</v>
      </c>
      <c r="AE28" s="29">
        <v>2914.9076461916707</v>
      </c>
      <c r="AF28" s="29">
        <v>2914.9076461916707</v>
      </c>
      <c r="AG28" s="29">
        <v>186.40764619167052</v>
      </c>
      <c r="AH28" s="29">
        <v>186.40764619167052</v>
      </c>
      <c r="AI28" s="29">
        <v>78.369415233317966</v>
      </c>
      <c r="AJ28" s="26">
        <v>6281</v>
      </c>
    </row>
    <row r="29" spans="13:36">
      <c r="M29" s="26" t="s">
        <v>24</v>
      </c>
      <c r="N29" s="29">
        <v>3606.7434950052607</v>
      </c>
      <c r="O29" s="29">
        <v>3606.7434950052607</v>
      </c>
      <c r="P29" s="29">
        <v>3606.7434950052607</v>
      </c>
      <c r="Q29" s="29">
        <v>74.743495005260215</v>
      </c>
      <c r="R29" s="29">
        <v>108.02601997895916</v>
      </c>
      <c r="S29" s="26">
        <v>11003</v>
      </c>
      <c r="T29" s="26"/>
      <c r="U29" s="26" t="s">
        <v>24</v>
      </c>
      <c r="V29" s="29">
        <v>872.676742050097</v>
      </c>
      <c r="W29" s="29">
        <v>872.676742050097</v>
      </c>
      <c r="X29" s="29">
        <v>872.676742050097</v>
      </c>
      <c r="Y29" s="29">
        <v>89.343408716763733</v>
      </c>
      <c r="Z29" s="29">
        <v>461.62636513294507</v>
      </c>
      <c r="AA29" s="26">
        <v>3169</v>
      </c>
      <c r="AD29" s="26" t="s">
        <v>24</v>
      </c>
      <c r="AE29" s="29">
        <v>2005.4076461916704</v>
      </c>
      <c r="AF29" s="29">
        <v>2005.4076461916704</v>
      </c>
      <c r="AG29" s="29">
        <v>2005.4076461916704</v>
      </c>
      <c r="AH29" s="29">
        <v>186.40764619167052</v>
      </c>
      <c r="AI29" s="29">
        <v>78.369415233317966</v>
      </c>
      <c r="AJ29" s="26">
        <v>6281</v>
      </c>
    </row>
    <row r="30" spans="13:36">
      <c r="M30" s="26" t="s">
        <v>25</v>
      </c>
      <c r="N30" s="29">
        <v>2723.7434950052602</v>
      </c>
      <c r="O30" s="29">
        <v>2723.7434950052602</v>
      </c>
      <c r="P30" s="29">
        <v>2723.7434950052602</v>
      </c>
      <c r="Q30" s="29">
        <v>2723.7434950052602</v>
      </c>
      <c r="R30" s="29">
        <v>108.02601997895916</v>
      </c>
      <c r="S30" s="26">
        <v>11003</v>
      </c>
      <c r="T30" s="26"/>
      <c r="U30" s="26" t="s">
        <v>25</v>
      </c>
      <c r="V30" s="29">
        <v>676.84340871676375</v>
      </c>
      <c r="W30" s="29">
        <v>676.84340871676375</v>
      </c>
      <c r="X30" s="29">
        <v>676.84340871676375</v>
      </c>
      <c r="Y30" s="29">
        <v>676.84340871676375</v>
      </c>
      <c r="Z30" s="29">
        <v>461.62636513294507</v>
      </c>
      <c r="AA30" s="26">
        <v>3169</v>
      </c>
      <c r="AD30" s="26" t="s">
        <v>25</v>
      </c>
      <c r="AE30" s="29">
        <v>1550.6576461916704</v>
      </c>
      <c r="AF30" s="29">
        <v>1550.6576461916704</v>
      </c>
      <c r="AG30" s="29">
        <v>1550.6576461916704</v>
      </c>
      <c r="AH30" s="29">
        <v>1550.6576461916704</v>
      </c>
      <c r="AI30" s="29">
        <v>78.369415233317966</v>
      </c>
      <c r="AJ30" s="26">
        <v>6281</v>
      </c>
    </row>
    <row r="31" spans="13:36">
      <c r="M31" s="28" t="s">
        <v>28</v>
      </c>
      <c r="N31" s="28"/>
      <c r="O31" s="28"/>
      <c r="P31" s="28"/>
      <c r="Q31" s="28"/>
      <c r="R31" s="28"/>
      <c r="S31" s="28"/>
      <c r="T31" s="26"/>
      <c r="U31" s="28" t="s">
        <v>28</v>
      </c>
      <c r="V31" s="28"/>
      <c r="W31" s="28"/>
      <c r="X31" s="28"/>
      <c r="Y31" s="28"/>
      <c r="Z31" s="28"/>
      <c r="AA31" s="28"/>
      <c r="AD31" s="28" t="s">
        <v>28</v>
      </c>
      <c r="AE31" s="28"/>
      <c r="AF31" s="28"/>
      <c r="AG31" s="28"/>
      <c r="AH31" s="28"/>
      <c r="AI31" s="28"/>
      <c r="AJ31" s="28"/>
    </row>
    <row r="32" spans="13:36">
      <c r="M32" s="26" t="s">
        <v>21</v>
      </c>
      <c r="N32" s="26">
        <v>14</v>
      </c>
      <c r="O32" s="26">
        <v>14</v>
      </c>
      <c r="P32" s="26">
        <v>14</v>
      </c>
      <c r="Q32" s="26">
        <v>14</v>
      </c>
      <c r="R32" s="26">
        <v>14</v>
      </c>
      <c r="S32" s="26">
        <v>14</v>
      </c>
      <c r="T32" s="26"/>
      <c r="U32" s="26" t="s">
        <v>21</v>
      </c>
      <c r="V32" s="29">
        <v>2.4007026033053882</v>
      </c>
      <c r="W32" s="29">
        <v>2.4007026033053882</v>
      </c>
      <c r="X32" s="29">
        <v>2.4007026033053882</v>
      </c>
      <c r="Y32" s="29">
        <v>2.4007026033053882</v>
      </c>
      <c r="Z32" s="29">
        <v>2.4007026033053882</v>
      </c>
      <c r="AA32" s="29">
        <v>2.4007026033053882</v>
      </c>
      <c r="AD32" s="26" t="s">
        <v>21</v>
      </c>
      <c r="AE32" s="29">
        <v>9.8674017810298889</v>
      </c>
      <c r="AF32" s="29">
        <v>9.8674017810298889</v>
      </c>
      <c r="AG32" s="29">
        <v>9.8674017810298889</v>
      </c>
      <c r="AH32" s="29">
        <v>9.8674017810298889</v>
      </c>
      <c r="AI32" s="29">
        <v>9.8674017810298889</v>
      </c>
      <c r="AJ32" s="29">
        <v>9.8674017810298889</v>
      </c>
    </row>
    <row r="33" spans="13:36">
      <c r="M33" s="26" t="s">
        <v>22</v>
      </c>
      <c r="N33" s="26">
        <v>74</v>
      </c>
      <c r="O33" s="26">
        <v>1</v>
      </c>
      <c r="P33" s="26">
        <v>1</v>
      </c>
      <c r="Q33" s="26">
        <v>1</v>
      </c>
      <c r="R33" s="26">
        <v>1</v>
      </c>
      <c r="S33" s="26">
        <v>14</v>
      </c>
      <c r="T33" s="26"/>
      <c r="U33" s="26" t="s">
        <v>22</v>
      </c>
      <c r="V33" s="29">
        <v>16.9398847827553</v>
      </c>
      <c r="W33" s="29">
        <v>0.62044033831085921</v>
      </c>
      <c r="X33" s="29">
        <v>0.62044033831085921</v>
      </c>
      <c r="Y33" s="29">
        <v>0.62044033831085921</v>
      </c>
      <c r="Z33" s="29">
        <v>0.62044033831085921</v>
      </c>
      <c r="AA33" s="29">
        <v>2.4007026033053882</v>
      </c>
      <c r="AD33" s="26" t="s">
        <v>22</v>
      </c>
      <c r="AE33" s="29">
        <v>39.190330876331046</v>
      </c>
      <c r="AF33" s="29">
        <v>1.2944975429977119</v>
      </c>
      <c r="AG33" s="29">
        <v>1.2944975429977119</v>
      </c>
      <c r="AH33" s="29">
        <v>1.2944975429977119</v>
      </c>
      <c r="AI33" s="29">
        <v>1.2944975429977119</v>
      </c>
      <c r="AJ33" s="29">
        <v>9.8674017810298889</v>
      </c>
    </row>
    <row r="34" spans="13:36">
      <c r="M34" s="26" t="s">
        <v>23</v>
      </c>
      <c r="N34" s="26">
        <v>37</v>
      </c>
      <c r="O34" s="26">
        <v>37</v>
      </c>
      <c r="P34" s="26">
        <v>1</v>
      </c>
      <c r="Q34" s="26">
        <v>1</v>
      </c>
      <c r="R34" s="26">
        <v>1</v>
      </c>
      <c r="S34" s="26">
        <v>14</v>
      </c>
      <c r="T34" s="26"/>
      <c r="U34" s="26" t="s">
        <v>23</v>
      </c>
      <c r="V34" s="29">
        <v>8.7801625605330802</v>
      </c>
      <c r="W34" s="29">
        <v>8.7801625605330802</v>
      </c>
      <c r="X34" s="29">
        <v>0.62044033831085921</v>
      </c>
      <c r="Y34" s="29">
        <v>0.62044033831085921</v>
      </c>
      <c r="Z34" s="29">
        <v>0.62044033831085921</v>
      </c>
      <c r="AA34" s="29">
        <v>2.4007026033053882</v>
      </c>
      <c r="AD34" s="26" t="s">
        <v>23</v>
      </c>
      <c r="AE34" s="29">
        <v>20.242414209664378</v>
      </c>
      <c r="AF34" s="29">
        <v>20.242414209664378</v>
      </c>
      <c r="AG34" s="29">
        <v>1.2944975429977119</v>
      </c>
      <c r="AH34" s="29">
        <v>1.2944975429977119</v>
      </c>
      <c r="AI34" s="29">
        <v>1.2944975429977119</v>
      </c>
      <c r="AJ34" s="29">
        <v>9.8674017810298889</v>
      </c>
    </row>
    <row r="35" spans="13:36">
      <c r="M35" s="26" t="s">
        <v>24</v>
      </c>
      <c r="N35" s="26">
        <v>25</v>
      </c>
      <c r="O35" s="26">
        <v>25</v>
      </c>
      <c r="P35" s="26">
        <v>25</v>
      </c>
      <c r="Q35" s="26">
        <v>1</v>
      </c>
      <c r="R35" s="26">
        <v>1</v>
      </c>
      <c r="S35" s="26">
        <v>14</v>
      </c>
      <c r="T35" s="26"/>
      <c r="U35" s="26" t="s">
        <v>24</v>
      </c>
      <c r="V35" s="29">
        <v>6.0602551531256736</v>
      </c>
      <c r="W35" s="29">
        <v>6.0602551531256736</v>
      </c>
      <c r="X35" s="29">
        <v>6.0602551531256736</v>
      </c>
      <c r="Y35" s="29">
        <v>0.62044033831085921</v>
      </c>
      <c r="Z35" s="29">
        <v>0.62044033831085921</v>
      </c>
      <c r="AA35" s="29">
        <v>2.4007026033053882</v>
      </c>
      <c r="AD35" s="26" t="s">
        <v>24</v>
      </c>
      <c r="AE35" s="29">
        <v>13.926441987442155</v>
      </c>
      <c r="AF35" s="29">
        <v>13.926441987442155</v>
      </c>
      <c r="AG35" s="29">
        <v>13.926441987442155</v>
      </c>
      <c r="AH35" s="29">
        <v>1.2944975429977119</v>
      </c>
      <c r="AI35" s="29">
        <v>1.2944975429977119</v>
      </c>
      <c r="AJ35" s="29">
        <v>9.8674017810298889</v>
      </c>
    </row>
    <row r="36" spans="13:36">
      <c r="M36" s="26" t="s">
        <v>25</v>
      </c>
      <c r="N36" s="26">
        <v>19</v>
      </c>
      <c r="O36" s="26">
        <v>19</v>
      </c>
      <c r="P36" s="26">
        <v>19</v>
      </c>
      <c r="Q36" s="26">
        <v>19</v>
      </c>
      <c r="R36" s="26">
        <v>1</v>
      </c>
      <c r="S36" s="26">
        <v>14</v>
      </c>
      <c r="T36" s="26"/>
      <c r="U36" s="26" t="s">
        <v>25</v>
      </c>
      <c r="V36" s="29">
        <v>4.7003014494219704</v>
      </c>
      <c r="W36" s="29">
        <v>4.7003014494219704</v>
      </c>
      <c r="X36" s="29">
        <v>4.7003014494219704</v>
      </c>
      <c r="Y36" s="29">
        <v>4.7003014494219704</v>
      </c>
      <c r="Z36" s="29">
        <v>0.62044033831085921</v>
      </c>
      <c r="AA36" s="29">
        <v>2.4007026033053882</v>
      </c>
      <c r="AD36" s="26" t="s">
        <v>25</v>
      </c>
      <c r="AE36" s="29">
        <v>10.768455876331045</v>
      </c>
      <c r="AF36" s="29">
        <v>10.768455876331045</v>
      </c>
      <c r="AG36" s="29">
        <v>10.768455876331045</v>
      </c>
      <c r="AH36" s="29">
        <v>10.768455876331045</v>
      </c>
      <c r="AI36" s="29">
        <v>1.2944975429977119</v>
      </c>
      <c r="AJ36" s="29">
        <v>9.8674017810298889</v>
      </c>
    </row>
    <row r="37" spans="13:36"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3:36"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3:36">
      <c r="T39" s="26"/>
    </row>
    <row r="40" spans="13:36">
      <c r="T40" s="26"/>
    </row>
    <row r="41" spans="13:36">
      <c r="T41" s="26"/>
    </row>
    <row r="42" spans="13:36">
      <c r="T42" s="26"/>
    </row>
    <row r="43" spans="13:36">
      <c r="T43" s="26"/>
    </row>
    <row r="44" spans="13:36">
      <c r="T44" s="26"/>
    </row>
    <row r="45" spans="13:36">
      <c r="T45" s="26"/>
    </row>
    <row r="46" spans="13:36">
      <c r="T46" s="26"/>
    </row>
    <row r="47" spans="13:36">
      <c r="T47" s="26"/>
    </row>
    <row r="48" spans="13:36">
      <c r="T48" s="26"/>
    </row>
    <row r="49" spans="20:20">
      <c r="T49" s="26"/>
    </row>
    <row r="50" spans="20:20">
      <c r="T50" s="26"/>
    </row>
    <row r="51" spans="20:20">
      <c r="T51" s="26"/>
    </row>
    <row r="52" spans="20:20">
      <c r="T52" s="26"/>
    </row>
    <row r="53" spans="20:20">
      <c r="T53" s="26"/>
    </row>
    <row r="54" spans="20:20">
      <c r="T54" s="26"/>
    </row>
  </sheetData>
  <mergeCells count="3">
    <mergeCell ref="C5:E5"/>
    <mergeCell ref="F5:H5"/>
    <mergeCell ref="I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ControlTotals_FiD</vt:lpstr>
      <vt:lpstr>ControlTotals_CoD</vt:lpstr>
      <vt:lpstr>Input_CoD</vt:lpstr>
      <vt:lpstr>TablesForMiro_CoD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2020-07-18T08:02:18Z</dcterms:created>
  <dcterms:modified xsi:type="dcterms:W3CDTF">2020-08-24T06:32:29Z</dcterms:modified>
</cp:coreProperties>
</file>